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AMSUNG\Desktop\apresentacao\"/>
    </mc:Choice>
  </mc:AlternateContent>
  <xr:revisionPtr revIDLastSave="0" documentId="13_ncr:1_{15CB7563-86E6-416D-891B-4F3AF90E21B9}" xr6:coauthVersionLast="47" xr6:coauthVersionMax="47" xr10:uidLastSave="{00000000-0000-0000-0000-000000000000}"/>
  <bookViews>
    <workbookView xWindow="-108" yWindow="-108" windowWidth="23256" windowHeight="12456" tabRatio="769" xr2:uid="{00000000-000D-0000-FFFF-FFFF00000000}"/>
  </bookViews>
  <sheets>
    <sheet name="OBRAS" sheetId="9" r:id="rId1"/>
  </sheets>
  <definedNames>
    <definedName name="_xlnm._FilterDatabase" localSheetId="0" hidden="1">OBRAS!$A$1:$R$120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28" i="9"/>
  <c r="K29" i="9"/>
  <c r="K30" i="9"/>
  <c r="K31" i="9"/>
  <c r="K32" i="9"/>
  <c r="K33" i="9"/>
  <c r="K34" i="9"/>
  <c r="K35" i="9"/>
  <c r="K36" i="9"/>
  <c r="K37" i="9"/>
  <c r="K38" i="9"/>
  <c r="K39" i="9"/>
  <c r="K40" i="9"/>
  <c r="K41" i="9"/>
  <c r="K42" i="9"/>
  <c r="K43" i="9"/>
  <c r="K44" i="9"/>
  <c r="K45" i="9"/>
  <c r="K46" i="9"/>
  <c r="K47" i="9"/>
  <c r="K48" i="9"/>
  <c r="K49" i="9"/>
  <c r="K50" i="9"/>
  <c r="K51" i="9"/>
  <c r="K52" i="9"/>
  <c r="K53" i="9"/>
  <c r="K54" i="9"/>
  <c r="K55" i="9"/>
  <c r="K56" i="9"/>
  <c r="K57" i="9"/>
  <c r="K58" i="9"/>
  <c r="K59" i="9"/>
  <c r="K60" i="9"/>
  <c r="K61" i="9"/>
  <c r="K62" i="9"/>
  <c r="K63" i="9"/>
  <c r="K64" i="9"/>
  <c r="K65" i="9"/>
  <c r="K66" i="9"/>
  <c r="K67" i="9"/>
  <c r="K68" i="9"/>
  <c r="K69" i="9"/>
  <c r="K70" i="9"/>
  <c r="K71" i="9"/>
  <c r="K72" i="9"/>
  <c r="K73" i="9"/>
  <c r="K74" i="9"/>
  <c r="K2" i="9"/>
  <c r="K75" i="9"/>
  <c r="K77" i="9"/>
  <c r="K78" i="9"/>
  <c r="K79" i="9"/>
  <c r="K80" i="9"/>
  <c r="K81" i="9"/>
  <c r="K82" i="9"/>
  <c r="K83" i="9"/>
  <c r="K84" i="9"/>
  <c r="K85" i="9"/>
  <c r="K86" i="9"/>
  <c r="K87" i="9"/>
  <c r="K88" i="9"/>
  <c r="K89" i="9"/>
  <c r="K90" i="9"/>
  <c r="K91" i="9"/>
  <c r="K92" i="9"/>
  <c r="K93" i="9"/>
  <c r="K94" i="9"/>
  <c r="K95" i="9"/>
  <c r="K96" i="9"/>
  <c r="K97" i="9"/>
  <c r="K98" i="9"/>
  <c r="K99" i="9"/>
  <c r="K100" i="9"/>
  <c r="K101" i="9"/>
  <c r="K102" i="9"/>
  <c r="K103" i="9"/>
  <c r="K104" i="9"/>
  <c r="K105" i="9"/>
  <c r="K106" i="9"/>
  <c r="K107" i="9"/>
  <c r="K108" i="9"/>
  <c r="K110" i="9"/>
  <c r="K111" i="9"/>
  <c r="K112" i="9"/>
  <c r="K113" i="9"/>
  <c r="K114" i="9"/>
  <c r="K115" i="9"/>
  <c r="K116" i="9"/>
  <c r="K117" i="9"/>
  <c r="K118" i="9"/>
  <c r="K119" i="9"/>
  <c r="K120" i="9"/>
  <c r="K76" i="9"/>
  <c r="J3" i="9"/>
  <c r="J4" i="9"/>
  <c r="J5" i="9"/>
  <c r="J6" i="9"/>
  <c r="J7" i="9"/>
  <c r="J8" i="9"/>
  <c r="J9" i="9"/>
  <c r="J10" i="9"/>
  <c r="J109" i="9" s="1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2" i="9"/>
  <c r="E109" i="9"/>
  <c r="F109" i="9"/>
  <c r="K109" i="9" s="1"/>
  <c r="H109" i="9"/>
</calcChain>
</file>

<file path=xl/sharedStrings.xml><?xml version="1.0" encoding="utf-8"?>
<sst xmlns="http://schemas.openxmlformats.org/spreadsheetml/2006/main" count="341" uniqueCount="157">
  <si>
    <t>Item</t>
  </si>
  <si>
    <t>Bairro</t>
  </si>
  <si>
    <t>Logradouro</t>
  </si>
  <si>
    <t>Rua Araripina</t>
  </si>
  <si>
    <t>Rua Nova Esperança</t>
  </si>
  <si>
    <t>Rua Itabaiana</t>
  </si>
  <si>
    <t>Rua da Mangueira</t>
  </si>
  <si>
    <t>Av.Carlos Augusto</t>
  </si>
  <si>
    <t>Parque Jair</t>
  </si>
  <si>
    <t>Av.Alonso Araujo</t>
  </si>
  <si>
    <t>Alto do Itapiraco</t>
  </si>
  <si>
    <t>Cohabiano</t>
  </si>
  <si>
    <t>Av.Central</t>
  </si>
  <si>
    <t>Itaguara</t>
  </si>
  <si>
    <t>Av.Maranguape</t>
  </si>
  <si>
    <t>Rua da Granja</t>
  </si>
  <si>
    <t>Rua Santa Helena</t>
  </si>
  <si>
    <t>Roseana Sarney</t>
  </si>
  <si>
    <t>Panaquatira</t>
  </si>
  <si>
    <t>Maiobinha</t>
  </si>
  <si>
    <t>Vila Flamengo</t>
  </si>
  <si>
    <t>Maioba do Jenipapeiro</t>
  </si>
  <si>
    <t>J. Lima</t>
  </si>
  <si>
    <t>Av.do Fio</t>
  </si>
  <si>
    <t>PREÇO UNITÁRIO</t>
  </si>
  <si>
    <t>PREÇO TOTAL</t>
  </si>
  <si>
    <t>População dos bairros beneficiados</t>
  </si>
  <si>
    <t>Araçagy</t>
  </si>
  <si>
    <t>Parque Vitória</t>
  </si>
  <si>
    <t>Rua Um (Rodão)</t>
  </si>
  <si>
    <t>Av. São Raimundo</t>
  </si>
  <si>
    <t>Av. dos Lagos</t>
  </si>
  <si>
    <t>Av. do campo</t>
  </si>
  <si>
    <t>Eleitorado de São José de Ribamar</t>
  </si>
  <si>
    <t>Parque Araçagy / Miritiua</t>
  </si>
  <si>
    <t>Parque Araçagy /Miritiua</t>
  </si>
  <si>
    <t>Sítio do Apicum</t>
  </si>
  <si>
    <t>Vila Alcione Gambarrinha/São Raimundo</t>
  </si>
  <si>
    <t>J camara 2</t>
  </si>
  <si>
    <t>Joao Cadal</t>
  </si>
  <si>
    <t>Extensao Pav em bloquete</t>
  </si>
  <si>
    <t>Estimativa total do eleitorado 70%</t>
  </si>
  <si>
    <t>Parque das Palmeiras</t>
  </si>
  <si>
    <t>Vila Kiola/ kiolinha</t>
  </si>
  <si>
    <t>Rua Bahia</t>
  </si>
  <si>
    <t>Rua Rio Grande do Sul</t>
  </si>
  <si>
    <t>Av. Tropical</t>
  </si>
  <si>
    <t>Extensão Total (m)</t>
  </si>
  <si>
    <t>Rua Sete de Setembro</t>
  </si>
  <si>
    <t>Rua São Luis</t>
  </si>
  <si>
    <t>Rua da Macauba</t>
  </si>
  <si>
    <t>Rua Claudio Licias</t>
  </si>
  <si>
    <t>Vila São Luis</t>
  </si>
  <si>
    <t>Alameda São Francisco</t>
  </si>
  <si>
    <t>Rua da Gaivota</t>
  </si>
  <si>
    <t>Rua Bom Jesus</t>
  </si>
  <si>
    <t>Rua Cosme Damião</t>
  </si>
  <si>
    <t>Trav. Lagos</t>
  </si>
  <si>
    <t>TOTAL KM</t>
  </si>
  <si>
    <t>Av. Maranhão</t>
  </si>
  <si>
    <t>Rua  1º de Maio</t>
  </si>
  <si>
    <t>Rua 11</t>
  </si>
  <si>
    <t>Rua 13</t>
  </si>
  <si>
    <t>Rua 9</t>
  </si>
  <si>
    <t>Rua da Secretaria</t>
  </si>
  <si>
    <t>Rua da Jaqueira</t>
  </si>
  <si>
    <t>Rua mirititiua/Rua Principal</t>
  </si>
  <si>
    <t>Tv Cap Raimundo Leite</t>
  </si>
  <si>
    <t>Rua Cap Raimundo Leite</t>
  </si>
  <si>
    <t>Vila dr Julinho</t>
  </si>
  <si>
    <t>Rua Dr Jose</t>
  </si>
  <si>
    <t>Rua Paraíba</t>
  </si>
  <si>
    <t>Rua Pernambuco</t>
  </si>
  <si>
    <t>Rua do Acre</t>
  </si>
  <si>
    <t>Rua Rio de Janeiro</t>
  </si>
  <si>
    <t>Terra livre/ Canudos</t>
  </si>
  <si>
    <t>Rua Cheguevara</t>
  </si>
  <si>
    <t>Av 3 de Julho</t>
  </si>
  <si>
    <t>Av 05 de Dezembro</t>
  </si>
  <si>
    <t>Av Karl Marx</t>
  </si>
  <si>
    <t>Rua 15 de outubro</t>
  </si>
  <si>
    <t>Rua O</t>
  </si>
  <si>
    <t xml:space="preserve">Rua P </t>
  </si>
  <si>
    <t>Rua Q</t>
  </si>
  <si>
    <t>Rua R</t>
  </si>
  <si>
    <t>Av Moacir Feitosa</t>
  </si>
  <si>
    <t>Trizidela</t>
  </si>
  <si>
    <t>Rua da Pedreira</t>
  </si>
  <si>
    <t>Rua Margaret</t>
  </si>
  <si>
    <t>Alto do Turú/ Recanto turu</t>
  </si>
  <si>
    <t>Rua 3</t>
  </si>
  <si>
    <t>Rua Santo Antonio</t>
  </si>
  <si>
    <t>Rua Senador Jose</t>
  </si>
  <si>
    <t>Rua São Jose</t>
  </si>
  <si>
    <t>Rua do Carmo 1,2(campo)</t>
  </si>
  <si>
    <t>Rua Rio Uma</t>
  </si>
  <si>
    <t>Vila Kiola</t>
  </si>
  <si>
    <t>Residencial Piquezeiro/ Cedro</t>
  </si>
  <si>
    <t>Rua 9 de Abril</t>
  </si>
  <si>
    <t>Rua das Palmeiras</t>
  </si>
  <si>
    <t>Rua Ipê</t>
  </si>
  <si>
    <t>Rua das Palmeiras 2</t>
  </si>
  <si>
    <t>Tv Rua das Palmeiras</t>
  </si>
  <si>
    <t>Região</t>
  </si>
  <si>
    <t>Extensão Pavimentação  Asfaltica (m)</t>
  </si>
  <si>
    <t>Extensão Pavimentação  Concreto (m)</t>
  </si>
  <si>
    <t>Observação</t>
  </si>
  <si>
    <t>Verificar cronograma do Estado - Tyago Freitas</t>
  </si>
  <si>
    <t>Princesa Ana</t>
  </si>
  <si>
    <t>Rua 16</t>
  </si>
  <si>
    <t>Falta Conclusão,Iniciado pelo Estado</t>
  </si>
  <si>
    <t>Jardim Tropical I &amp; II</t>
  </si>
  <si>
    <t>Largura (m)</t>
  </si>
  <si>
    <t>Area (m²)</t>
  </si>
  <si>
    <t>Drenagem Profunda</t>
  </si>
  <si>
    <t>Meio-fio/Sarjeta (m)</t>
  </si>
  <si>
    <t>Pindaí</t>
  </si>
  <si>
    <t>Limitrofe</t>
  </si>
  <si>
    <t>Vilas</t>
  </si>
  <si>
    <t>Semi-Urbano</t>
  </si>
  <si>
    <t>Material no local, Falta Mao de Obra</t>
  </si>
  <si>
    <t>Rua São Pedro</t>
  </si>
  <si>
    <t>Rua da Amizade</t>
  </si>
  <si>
    <t>Rua da Colina</t>
  </si>
  <si>
    <t>Rua 6 de Maio</t>
  </si>
  <si>
    <t xml:space="preserve">Rua Dário Santos </t>
  </si>
  <si>
    <t xml:space="preserve">Rua São Simão </t>
  </si>
  <si>
    <t>Travessa Antônio Dino</t>
  </si>
  <si>
    <t>Rua Nair Deolany</t>
  </si>
  <si>
    <t xml:space="preserve">Rua 15 </t>
  </si>
  <si>
    <t>Rua parque sabiá</t>
  </si>
  <si>
    <t>Rua jardim botânico</t>
  </si>
  <si>
    <t>Rua bom Jesus</t>
  </si>
  <si>
    <t>Vila Sarney Filho  I &amp; II</t>
  </si>
  <si>
    <t>Rua Paranã</t>
  </si>
  <si>
    <t xml:space="preserve">Avenida São Raimundo/Rua 10 </t>
  </si>
  <si>
    <t>Rua da Alegria</t>
  </si>
  <si>
    <t>Rua São Miguel</t>
  </si>
  <si>
    <t>Rua Nossa Senhora</t>
  </si>
  <si>
    <t>Rua São Jorge</t>
  </si>
  <si>
    <t>Rua São José</t>
  </si>
  <si>
    <t>Rua São João</t>
  </si>
  <si>
    <t>Rua 2 de maio</t>
  </si>
  <si>
    <t>Rua da paz</t>
  </si>
  <si>
    <t>Rua Fé em Deus</t>
  </si>
  <si>
    <t>Rua Santa Maria</t>
  </si>
  <si>
    <t>Tv Iomar Carvalho</t>
  </si>
  <si>
    <t>Tv Mirititiua</t>
  </si>
  <si>
    <t>Rua da Salina</t>
  </si>
  <si>
    <t>Tv do Campo</t>
  </si>
  <si>
    <t>Rua 12 de Março</t>
  </si>
  <si>
    <t>Rua 17 de Agosto</t>
  </si>
  <si>
    <t>Rua s/n</t>
  </si>
  <si>
    <t>Sede</t>
  </si>
  <si>
    <t>Rua Raimundo Genesio/ Rua Principal</t>
  </si>
  <si>
    <t xml:space="preserve">Rua Jacarepagua -2.517643, -44.189192
</t>
  </si>
  <si>
    <t>Rua dos Engenheiros  -2.5124537 / Longitude: -44.2028331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</si>
</sst>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</fills>
  <borders count="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43" fontId="2" fillId="0" borderId="0" applyFont="0" applyFill="0" applyBorder="0" applyAlignment="0" applyProtection="0"/>
  </cellStyleXfs>
  <cellXfs count="41">
    <xf numFmtId="0" fontId="0" fillId="0" borderId="0" xfId="0"/>
    <xf numFmtId="0" fontId="0" fillId="0" borderId="2" xfId="0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3" fontId="0" fillId="3" borderId="2" xfId="2" applyFont="1" applyFill="1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1" fillId="4" borderId="2" xfId="1" applyFill="1" applyBorder="1" applyAlignment="1">
      <alignment horizontal="center" vertical="center" wrapText="1"/>
    </xf>
    <xf numFmtId="43" fontId="1" fillId="3" borderId="2" xfId="2" applyFont="1" applyFill="1" applyBorder="1" applyAlignment="1">
      <alignment horizontal="center" vertical="center" wrapText="1"/>
    </xf>
    <xf numFmtId="43" fontId="1" fillId="2" borderId="2" xfId="1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3" borderId="2" xfId="2" applyNumberFormat="1" applyFont="1" applyFill="1" applyBorder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1" fillId="2" borderId="2" xfId="1" applyNumberFormat="1" applyBorder="1" applyAlignment="1">
      <alignment horizontal="center" vertical="center"/>
    </xf>
    <xf numFmtId="2" fontId="0" fillId="3" borderId="2" xfId="2" applyNumberFormat="1" applyFont="1" applyFill="1" applyBorder="1" applyAlignment="1">
      <alignment vertical="center"/>
    </xf>
    <xf numFmtId="2" fontId="0" fillId="0" borderId="2" xfId="0" applyNumberFormat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2" fontId="0" fillId="4" borderId="2" xfId="2" applyNumberFormat="1" applyFont="1" applyFill="1" applyBorder="1" applyAlignment="1">
      <alignment horizontal="center" vertical="center"/>
    </xf>
    <xf numFmtId="2" fontId="0" fillId="4" borderId="2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2" xfId="0" applyFill="1" applyBorder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3" fontId="0" fillId="3" borderId="3" xfId="2" applyFont="1" applyFill="1" applyBorder="1" applyAlignment="1">
      <alignment horizontal="center" vertical="center"/>
    </xf>
    <xf numFmtId="43" fontId="0" fillId="3" borderId="4" xfId="2" applyFont="1" applyFill="1" applyBorder="1" applyAlignment="1">
      <alignment horizontal="center" vertical="center"/>
    </xf>
    <xf numFmtId="43" fontId="0" fillId="3" borderId="2" xfId="2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</cellXfs>
  <cellStyles count="3">
    <cellStyle name="Normal" xfId="0" builtinId="0"/>
    <cellStyle name="Saída" xfId="1" builtinId="21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18619-03EF-4233-B35F-2C3B35A30DD7}">
  <dimension ref="A1:R120"/>
  <sheetViews>
    <sheetView tabSelected="1" zoomScale="80" zoomScaleNormal="80" workbookViewId="0">
      <pane ySplit="1" topLeftCell="A81" activePane="bottomLeft" state="frozen"/>
      <selection pane="bottomLeft" activeCell="D84" sqref="D84"/>
    </sheetView>
  </sheetViews>
  <sheetFormatPr defaultColWidth="8.6640625" defaultRowHeight="14.4" x14ac:dyDescent="0.3"/>
  <cols>
    <col min="1" max="1" width="13.6640625" style="16" bestFit="1" customWidth="1"/>
    <col min="2" max="2" width="15.88671875" style="16" customWidth="1"/>
    <col min="3" max="3" width="27" style="16" customWidth="1"/>
    <col min="4" max="4" width="50.6640625" style="16" customWidth="1"/>
    <col min="5" max="5" width="15.21875" style="16" customWidth="1"/>
    <col min="6" max="7" width="18.77734375" style="16" bestFit="1" customWidth="1"/>
    <col min="8" max="8" width="15.77734375" style="16" bestFit="1" customWidth="1"/>
    <col min="9" max="12" width="13" style="16" customWidth="1"/>
    <col min="13" max="13" width="17.21875" style="16" bestFit="1" customWidth="1"/>
    <col min="14" max="14" width="14" style="16" bestFit="1" customWidth="1"/>
    <col min="15" max="15" width="14" style="16" customWidth="1"/>
    <col min="16" max="16" width="19.33203125" style="16" customWidth="1"/>
    <col min="17" max="17" width="14.6640625" style="16" customWidth="1"/>
    <col min="18" max="18" width="14.77734375" style="16" customWidth="1"/>
    <col min="19" max="16384" width="8.6640625" style="16"/>
  </cols>
  <sheetData>
    <row r="1" spans="1:18" ht="43.2" x14ac:dyDescent="0.3">
      <c r="A1" s="5" t="s">
        <v>0</v>
      </c>
      <c r="B1" s="5" t="s">
        <v>103</v>
      </c>
      <c r="C1" s="5" t="s">
        <v>1</v>
      </c>
      <c r="D1" s="5" t="s">
        <v>2</v>
      </c>
      <c r="E1" s="14" t="s">
        <v>47</v>
      </c>
      <c r="F1" s="6" t="s">
        <v>104</v>
      </c>
      <c r="G1" s="6" t="s">
        <v>105</v>
      </c>
      <c r="H1" s="14" t="s">
        <v>40</v>
      </c>
      <c r="I1" s="14" t="s">
        <v>112</v>
      </c>
      <c r="J1" s="14" t="s">
        <v>113</v>
      </c>
      <c r="K1" s="14" t="s">
        <v>115</v>
      </c>
      <c r="L1" s="14" t="s">
        <v>114</v>
      </c>
      <c r="M1" s="7" t="s">
        <v>24</v>
      </c>
      <c r="N1" s="7" t="s">
        <v>25</v>
      </c>
      <c r="O1" s="7" t="s">
        <v>106</v>
      </c>
      <c r="P1" s="13" t="s">
        <v>26</v>
      </c>
      <c r="Q1" s="6" t="s">
        <v>33</v>
      </c>
      <c r="R1" s="6" t="s">
        <v>41</v>
      </c>
    </row>
    <row r="2" spans="1:18" ht="28.8" customHeight="1" x14ac:dyDescent="0.3">
      <c r="A2" s="4">
        <v>1</v>
      </c>
      <c r="B2" s="12" t="s">
        <v>117</v>
      </c>
      <c r="C2" s="4" t="s">
        <v>10</v>
      </c>
      <c r="D2" s="36" t="s">
        <v>155</v>
      </c>
      <c r="E2" s="18">
        <v>1300</v>
      </c>
      <c r="F2" s="16">
        <v>950</v>
      </c>
      <c r="G2" s="18">
        <v>350</v>
      </c>
      <c r="H2" s="18"/>
      <c r="I2" s="18">
        <v>5.5</v>
      </c>
      <c r="J2" s="18">
        <f>(F2*I2)+(G2*I2)+(H2*I2)</f>
        <v>7150</v>
      </c>
      <c r="K2" s="18">
        <f>2*(F2+G2+H2)</f>
        <v>2600</v>
      </c>
      <c r="L2" s="18"/>
      <c r="M2" s="4"/>
      <c r="N2" s="4"/>
      <c r="O2" s="4"/>
      <c r="P2" s="4">
        <v>11668</v>
      </c>
      <c r="Q2" s="4">
        <v>2619</v>
      </c>
      <c r="R2" s="4">
        <v>8167</v>
      </c>
    </row>
    <row r="3" spans="1:18" x14ac:dyDescent="0.3">
      <c r="A3" s="4">
        <v>2</v>
      </c>
      <c r="B3" s="12" t="s">
        <v>117</v>
      </c>
      <c r="C3" s="3" t="s">
        <v>89</v>
      </c>
      <c r="D3" s="35" t="s">
        <v>156</v>
      </c>
      <c r="E3" s="18">
        <v>150</v>
      </c>
      <c r="F3" s="18">
        <v>150</v>
      </c>
      <c r="G3" s="18"/>
      <c r="H3" s="18"/>
      <c r="I3" s="18">
        <v>5.5</v>
      </c>
      <c r="J3" s="18">
        <f t="shared" ref="J3:J66" si="0">(F3*I3)+(G3*I3)+(H3*I3)</f>
        <v>825</v>
      </c>
      <c r="K3" s="18">
        <f t="shared" ref="K3:K66" si="1">2*(F3+G3+H3)</f>
        <v>300</v>
      </c>
      <c r="L3" s="18"/>
      <c r="M3" s="4"/>
      <c r="N3" s="4"/>
      <c r="O3" s="4"/>
      <c r="P3" s="4"/>
      <c r="Q3" s="4"/>
      <c r="R3" s="4"/>
    </row>
    <row r="4" spans="1:18" x14ac:dyDescent="0.3">
      <c r="A4" s="4">
        <v>3</v>
      </c>
      <c r="B4" s="12" t="s">
        <v>117</v>
      </c>
      <c r="C4" s="3" t="s">
        <v>89</v>
      </c>
      <c r="D4" s="35" t="s">
        <v>91</v>
      </c>
      <c r="E4" s="18">
        <v>500</v>
      </c>
      <c r="F4" s="18">
        <v>500</v>
      </c>
      <c r="G4" s="18"/>
      <c r="H4" s="18"/>
      <c r="I4" s="18">
        <v>5.5</v>
      </c>
      <c r="J4" s="18">
        <f t="shared" si="0"/>
        <v>2750</v>
      </c>
      <c r="K4" s="18">
        <f t="shared" si="1"/>
        <v>1000</v>
      </c>
      <c r="L4" s="18"/>
      <c r="M4" s="4"/>
      <c r="N4" s="4"/>
      <c r="O4" s="4"/>
      <c r="P4" s="4"/>
      <c r="Q4" s="4"/>
      <c r="R4" s="4"/>
    </row>
    <row r="5" spans="1:18" x14ac:dyDescent="0.3">
      <c r="A5" s="4">
        <v>4</v>
      </c>
      <c r="B5" s="12" t="s">
        <v>117</v>
      </c>
      <c r="C5" s="3" t="s">
        <v>89</v>
      </c>
      <c r="D5" s="35" t="s">
        <v>92</v>
      </c>
      <c r="E5" s="18">
        <v>500</v>
      </c>
      <c r="F5" s="18">
        <v>500</v>
      </c>
      <c r="G5" s="18"/>
      <c r="H5" s="18"/>
      <c r="I5" s="18">
        <v>5.5</v>
      </c>
      <c r="J5" s="18">
        <f t="shared" si="0"/>
        <v>2750</v>
      </c>
      <c r="K5" s="18">
        <f t="shared" si="1"/>
        <v>1000</v>
      </c>
      <c r="L5" s="18"/>
      <c r="M5" s="4"/>
      <c r="N5" s="4"/>
      <c r="O5" s="4"/>
      <c r="P5" s="4"/>
      <c r="Q5" s="4"/>
      <c r="R5" s="4"/>
    </row>
    <row r="6" spans="1:18" x14ac:dyDescent="0.3">
      <c r="A6" s="4">
        <v>5</v>
      </c>
      <c r="B6" s="12" t="s">
        <v>117</v>
      </c>
      <c r="C6" s="3" t="s">
        <v>89</v>
      </c>
      <c r="D6" s="35" t="s">
        <v>93</v>
      </c>
      <c r="E6" s="18">
        <v>500</v>
      </c>
      <c r="F6" s="18">
        <v>500</v>
      </c>
      <c r="G6" s="18"/>
      <c r="H6" s="18"/>
      <c r="I6" s="18">
        <v>5.5</v>
      </c>
      <c r="J6" s="18">
        <f t="shared" si="0"/>
        <v>2750</v>
      </c>
      <c r="K6" s="18">
        <f t="shared" si="1"/>
        <v>1000</v>
      </c>
      <c r="L6" s="18"/>
      <c r="M6" s="4"/>
      <c r="N6" s="4"/>
      <c r="O6" s="4"/>
      <c r="P6" s="4"/>
      <c r="Q6" s="4"/>
      <c r="R6" s="4"/>
    </row>
    <row r="7" spans="1:18" x14ac:dyDescent="0.3">
      <c r="A7" s="4">
        <v>6</v>
      </c>
      <c r="B7" s="12" t="s">
        <v>117</v>
      </c>
      <c r="C7" s="3" t="s">
        <v>89</v>
      </c>
      <c r="D7" s="35" t="s">
        <v>90</v>
      </c>
      <c r="E7" s="17">
        <v>500</v>
      </c>
      <c r="F7" s="17">
        <v>500</v>
      </c>
      <c r="G7" s="17"/>
      <c r="H7" s="18"/>
      <c r="I7" s="18">
        <v>6</v>
      </c>
      <c r="J7" s="18">
        <f t="shared" si="0"/>
        <v>3000</v>
      </c>
      <c r="K7" s="18">
        <f t="shared" si="1"/>
        <v>1000</v>
      </c>
      <c r="L7" s="18"/>
      <c r="M7" s="4"/>
      <c r="N7" s="4"/>
      <c r="O7" s="4"/>
      <c r="P7" s="4"/>
      <c r="Q7" s="4"/>
      <c r="R7" s="4"/>
    </row>
    <row r="8" spans="1:18" x14ac:dyDescent="0.3">
      <c r="A8" s="4">
        <v>7</v>
      </c>
      <c r="B8" s="12" t="s">
        <v>117</v>
      </c>
      <c r="C8" s="4" t="s">
        <v>27</v>
      </c>
      <c r="D8" s="35" t="s">
        <v>5</v>
      </c>
      <c r="E8" s="18">
        <v>650</v>
      </c>
      <c r="F8" s="18">
        <v>415</v>
      </c>
      <c r="G8" s="18"/>
      <c r="H8" s="18"/>
      <c r="I8" s="18">
        <v>5.5</v>
      </c>
      <c r="J8" s="18">
        <f t="shared" si="0"/>
        <v>2282.5</v>
      </c>
      <c r="K8" s="18">
        <f t="shared" si="1"/>
        <v>830</v>
      </c>
      <c r="L8" s="18"/>
      <c r="M8" s="4"/>
      <c r="N8" s="4"/>
      <c r="O8" s="4"/>
      <c r="P8" s="4">
        <v>12391</v>
      </c>
      <c r="Q8" s="4">
        <v>4159</v>
      </c>
      <c r="R8" s="4">
        <v>8673</v>
      </c>
    </row>
    <row r="9" spans="1:18" ht="14.55" customHeight="1" x14ac:dyDescent="0.3">
      <c r="A9" s="4">
        <v>8</v>
      </c>
      <c r="B9" s="12" t="s">
        <v>117</v>
      </c>
      <c r="C9" s="4" t="s">
        <v>11</v>
      </c>
      <c r="D9" s="35" t="s">
        <v>23</v>
      </c>
      <c r="E9" s="18">
        <v>1650</v>
      </c>
      <c r="F9" s="18">
        <v>1650</v>
      </c>
      <c r="G9" s="18"/>
      <c r="H9" s="18"/>
      <c r="I9" s="18">
        <v>5.5</v>
      </c>
      <c r="J9" s="18">
        <f t="shared" si="0"/>
        <v>9075</v>
      </c>
      <c r="K9" s="18">
        <f t="shared" si="1"/>
        <v>3300</v>
      </c>
      <c r="L9" s="18"/>
      <c r="M9" s="2"/>
      <c r="N9" s="2"/>
      <c r="O9" s="2"/>
      <c r="P9" s="4"/>
      <c r="Q9" s="4"/>
      <c r="R9" s="4"/>
    </row>
    <row r="10" spans="1:18" s="27" customFormat="1" ht="57.6" x14ac:dyDescent="0.3">
      <c r="A10" s="23">
        <v>9</v>
      </c>
      <c r="B10" s="24" t="s">
        <v>117</v>
      </c>
      <c r="C10" s="23" t="s">
        <v>13</v>
      </c>
      <c r="D10" s="35" t="s">
        <v>12</v>
      </c>
      <c r="E10" s="25">
        <v>600</v>
      </c>
      <c r="F10" s="25">
        <v>600</v>
      </c>
      <c r="G10" s="25"/>
      <c r="H10" s="26"/>
      <c r="I10" s="26">
        <v>5.5</v>
      </c>
      <c r="J10" s="25">
        <f t="shared" si="0"/>
        <v>3300</v>
      </c>
      <c r="K10" s="25">
        <f t="shared" si="1"/>
        <v>1200</v>
      </c>
      <c r="L10" s="26"/>
      <c r="M10" s="23"/>
      <c r="N10" s="23"/>
      <c r="O10" s="24" t="s">
        <v>107</v>
      </c>
      <c r="P10" s="23">
        <v>12495</v>
      </c>
      <c r="Q10" s="23">
        <v>3268</v>
      </c>
      <c r="R10" s="23">
        <v>8746</v>
      </c>
    </row>
    <row r="11" spans="1:18" ht="43.2" x14ac:dyDescent="0.3">
      <c r="A11" s="4">
        <v>10</v>
      </c>
      <c r="B11" s="12" t="s">
        <v>117</v>
      </c>
      <c r="C11" s="4" t="s">
        <v>86</v>
      </c>
      <c r="D11" s="35" t="s">
        <v>87</v>
      </c>
      <c r="E11" s="17">
        <v>90</v>
      </c>
      <c r="F11" s="4"/>
      <c r="G11" s="17"/>
      <c r="H11" s="17">
        <v>90</v>
      </c>
      <c r="I11" s="17">
        <v>5</v>
      </c>
      <c r="J11" s="18">
        <f t="shared" si="0"/>
        <v>450</v>
      </c>
      <c r="K11" s="18">
        <f t="shared" si="1"/>
        <v>180</v>
      </c>
      <c r="L11" s="17"/>
      <c r="M11" s="4"/>
      <c r="N11" s="4"/>
      <c r="O11" s="28" t="s">
        <v>120</v>
      </c>
      <c r="P11" s="4">
        <v>1682</v>
      </c>
      <c r="Q11" s="4">
        <v>338</v>
      </c>
      <c r="R11" s="4">
        <v>1177</v>
      </c>
    </row>
    <row r="12" spans="1:18" ht="43.2" x14ac:dyDescent="0.3">
      <c r="A12" s="4">
        <v>11</v>
      </c>
      <c r="B12" s="12" t="s">
        <v>117</v>
      </c>
      <c r="C12" s="4" t="s">
        <v>86</v>
      </c>
      <c r="D12" s="34" t="s">
        <v>88</v>
      </c>
      <c r="E12" s="17">
        <v>250</v>
      </c>
      <c r="G12" s="17"/>
      <c r="H12" s="17">
        <v>250</v>
      </c>
      <c r="I12" s="17">
        <v>5.5</v>
      </c>
      <c r="J12" s="18">
        <f t="shared" si="0"/>
        <v>1375</v>
      </c>
      <c r="K12" s="18">
        <f t="shared" si="1"/>
        <v>500</v>
      </c>
      <c r="L12" s="17"/>
      <c r="M12" s="4"/>
      <c r="N12" s="4"/>
      <c r="O12" s="28" t="s">
        <v>120</v>
      </c>
      <c r="P12" s="4"/>
      <c r="Q12" s="4"/>
      <c r="R12" s="4"/>
    </row>
    <row r="13" spans="1:18" x14ac:dyDescent="0.3">
      <c r="A13" s="4">
        <v>12</v>
      </c>
      <c r="B13" s="12" t="s">
        <v>117</v>
      </c>
      <c r="C13" s="4" t="s">
        <v>21</v>
      </c>
      <c r="D13" s="35" t="s">
        <v>9</v>
      </c>
      <c r="E13" s="18">
        <v>1100</v>
      </c>
      <c r="F13" s="18">
        <v>1100</v>
      </c>
      <c r="G13" s="18"/>
      <c r="H13" s="18"/>
      <c r="I13" s="18">
        <v>6</v>
      </c>
      <c r="J13" s="18">
        <f t="shared" si="0"/>
        <v>6600</v>
      </c>
      <c r="K13" s="18">
        <f t="shared" si="1"/>
        <v>2200</v>
      </c>
      <c r="L13" s="18"/>
      <c r="M13" s="11"/>
      <c r="N13" s="11"/>
      <c r="O13" s="2"/>
      <c r="P13" s="4">
        <v>9832</v>
      </c>
      <c r="Q13" s="4">
        <v>2740</v>
      </c>
      <c r="R13" s="4">
        <v>6882</v>
      </c>
    </row>
    <row r="14" spans="1:18" x14ac:dyDescent="0.3">
      <c r="A14" s="4">
        <v>13</v>
      </c>
      <c r="B14" s="12" t="s">
        <v>117</v>
      </c>
      <c r="C14" s="4" t="s">
        <v>34</v>
      </c>
      <c r="D14" s="35" t="s">
        <v>3</v>
      </c>
      <c r="E14" s="18">
        <v>917</v>
      </c>
      <c r="F14" s="18">
        <v>917</v>
      </c>
      <c r="G14" s="18"/>
      <c r="H14" s="17"/>
      <c r="I14" s="17">
        <v>6.5</v>
      </c>
      <c r="J14" s="18">
        <f t="shared" si="0"/>
        <v>5960.5</v>
      </c>
      <c r="K14" s="18">
        <f t="shared" si="1"/>
        <v>1834</v>
      </c>
      <c r="L14" s="17"/>
      <c r="M14" s="3"/>
      <c r="N14" s="3"/>
      <c r="O14" s="4"/>
      <c r="P14" s="4">
        <v>1682</v>
      </c>
      <c r="Q14" s="4">
        <v>338</v>
      </c>
      <c r="R14" s="4">
        <v>1177</v>
      </c>
    </row>
    <row r="15" spans="1:18" x14ac:dyDescent="0.3">
      <c r="A15" s="4">
        <v>14</v>
      </c>
      <c r="B15" s="12" t="s">
        <v>117</v>
      </c>
      <c r="C15" s="4" t="s">
        <v>35</v>
      </c>
      <c r="D15" s="34" t="s">
        <v>4</v>
      </c>
      <c r="E15" s="18">
        <v>2000</v>
      </c>
      <c r="F15" s="18">
        <v>2000</v>
      </c>
      <c r="G15" s="18"/>
      <c r="H15" s="17"/>
      <c r="I15" s="17">
        <v>6</v>
      </c>
      <c r="J15" s="18">
        <f t="shared" si="0"/>
        <v>12000</v>
      </c>
      <c r="K15" s="18">
        <f t="shared" si="1"/>
        <v>4000</v>
      </c>
      <c r="L15" s="17"/>
      <c r="M15" s="3"/>
      <c r="N15" s="3"/>
      <c r="O15" s="4"/>
      <c r="P15" s="4"/>
      <c r="Q15" s="4"/>
      <c r="R15" s="4"/>
    </row>
    <row r="16" spans="1:18" x14ac:dyDescent="0.3">
      <c r="A16" s="4">
        <v>15</v>
      </c>
      <c r="B16" s="12" t="s">
        <v>117</v>
      </c>
      <c r="C16" s="4" t="s">
        <v>42</v>
      </c>
      <c r="D16" s="35" t="s">
        <v>6</v>
      </c>
      <c r="E16" s="18">
        <v>2110</v>
      </c>
      <c r="F16" s="18">
        <v>2110</v>
      </c>
      <c r="G16" s="18"/>
      <c r="H16" s="18"/>
      <c r="I16" s="18">
        <v>6</v>
      </c>
      <c r="J16" s="18">
        <f t="shared" si="0"/>
        <v>12660</v>
      </c>
      <c r="K16" s="18">
        <f t="shared" si="1"/>
        <v>4220</v>
      </c>
      <c r="L16" s="18"/>
      <c r="M16" s="11"/>
      <c r="N16" s="11"/>
      <c r="O16" s="2"/>
      <c r="P16" s="4"/>
      <c r="Q16" s="4"/>
      <c r="R16" s="4"/>
    </row>
    <row r="17" spans="1:18" x14ac:dyDescent="0.3">
      <c r="A17" s="4">
        <v>16</v>
      </c>
      <c r="B17" s="12" t="s">
        <v>117</v>
      </c>
      <c r="C17" s="4" t="s">
        <v>8</v>
      </c>
      <c r="D17" s="35" t="s">
        <v>7</v>
      </c>
      <c r="E17" s="18">
        <v>2000</v>
      </c>
      <c r="F17" s="18">
        <v>2000</v>
      </c>
      <c r="G17" s="18"/>
      <c r="H17" s="17"/>
      <c r="I17" s="17">
        <v>7</v>
      </c>
      <c r="J17" s="18">
        <f t="shared" si="0"/>
        <v>14000</v>
      </c>
      <c r="K17" s="18">
        <f t="shared" si="1"/>
        <v>4000</v>
      </c>
      <c r="L17" s="17"/>
      <c r="M17" s="3"/>
      <c r="N17" s="3"/>
      <c r="O17" s="4"/>
      <c r="P17" s="4"/>
      <c r="Q17" s="4"/>
      <c r="R17" s="4"/>
    </row>
    <row r="18" spans="1:18" x14ac:dyDescent="0.3">
      <c r="A18" s="4">
        <v>17</v>
      </c>
      <c r="B18" s="12" t="s">
        <v>117</v>
      </c>
      <c r="C18" s="4" t="s">
        <v>28</v>
      </c>
      <c r="D18" s="35" t="s">
        <v>29</v>
      </c>
      <c r="E18" s="18">
        <v>300</v>
      </c>
      <c r="F18" s="18">
        <v>300</v>
      </c>
      <c r="G18" s="18"/>
      <c r="H18" s="17"/>
      <c r="I18" s="17">
        <v>5.5</v>
      </c>
      <c r="J18" s="18">
        <f t="shared" si="0"/>
        <v>1650</v>
      </c>
      <c r="K18" s="18">
        <f t="shared" si="1"/>
        <v>600</v>
      </c>
      <c r="L18" s="17"/>
      <c r="M18" s="3"/>
      <c r="N18" s="3"/>
      <c r="O18" s="4"/>
      <c r="P18" s="4"/>
      <c r="Q18" s="4"/>
      <c r="R18" s="4"/>
    </row>
    <row r="19" spans="1:18" x14ac:dyDescent="0.3">
      <c r="A19" s="4">
        <v>18</v>
      </c>
      <c r="B19" s="12" t="s">
        <v>117</v>
      </c>
      <c r="C19" s="4" t="s">
        <v>75</v>
      </c>
      <c r="D19" s="35" t="s">
        <v>76</v>
      </c>
      <c r="E19" s="18">
        <v>450</v>
      </c>
      <c r="F19" s="18">
        <v>450</v>
      </c>
      <c r="G19" s="18"/>
      <c r="H19" s="17"/>
      <c r="I19" s="17">
        <v>5.5</v>
      </c>
      <c r="J19" s="18">
        <f t="shared" si="0"/>
        <v>2475</v>
      </c>
      <c r="K19" s="18">
        <f t="shared" si="1"/>
        <v>900</v>
      </c>
      <c r="L19" s="17"/>
      <c r="M19" s="4"/>
      <c r="N19" s="4"/>
      <c r="O19" s="4"/>
      <c r="P19" s="4"/>
      <c r="Q19" s="4"/>
      <c r="R19" s="4"/>
    </row>
    <row r="20" spans="1:18" x14ac:dyDescent="0.3">
      <c r="A20" s="4">
        <v>19</v>
      </c>
      <c r="B20" s="12" t="s">
        <v>117</v>
      </c>
      <c r="C20" s="4" t="s">
        <v>75</v>
      </c>
      <c r="D20" s="35" t="s">
        <v>81</v>
      </c>
      <c r="E20" s="18">
        <v>150</v>
      </c>
      <c r="F20" s="18">
        <v>150</v>
      </c>
      <c r="G20" s="18"/>
      <c r="H20" s="17"/>
      <c r="I20" s="17">
        <v>5.5</v>
      </c>
      <c r="J20" s="18">
        <f t="shared" si="0"/>
        <v>825</v>
      </c>
      <c r="K20" s="18">
        <f t="shared" si="1"/>
        <v>300</v>
      </c>
      <c r="L20" s="17"/>
      <c r="M20" s="4"/>
      <c r="N20" s="4"/>
      <c r="O20" s="4"/>
      <c r="P20" s="4"/>
      <c r="Q20" s="4"/>
      <c r="R20" s="4"/>
    </row>
    <row r="21" spans="1:18" x14ac:dyDescent="0.3">
      <c r="A21" s="4">
        <v>20</v>
      </c>
      <c r="B21" s="12" t="s">
        <v>117</v>
      </c>
      <c r="C21" s="4" t="s">
        <v>75</v>
      </c>
      <c r="D21" s="35" t="s">
        <v>82</v>
      </c>
      <c r="E21" s="18">
        <v>150</v>
      </c>
      <c r="F21" s="18">
        <v>150</v>
      </c>
      <c r="G21" s="18"/>
      <c r="H21" s="17"/>
      <c r="I21" s="17">
        <v>5.5</v>
      </c>
      <c r="J21" s="18">
        <f t="shared" si="0"/>
        <v>825</v>
      </c>
      <c r="K21" s="18">
        <f t="shared" si="1"/>
        <v>300</v>
      </c>
      <c r="L21" s="17"/>
      <c r="M21" s="4"/>
      <c r="N21" s="4"/>
      <c r="O21" s="4"/>
      <c r="P21" s="4"/>
      <c r="Q21" s="4"/>
      <c r="R21" s="4"/>
    </row>
    <row r="22" spans="1:18" x14ac:dyDescent="0.3">
      <c r="A22" s="4">
        <v>21</v>
      </c>
      <c r="B22" s="12" t="s">
        <v>117</v>
      </c>
      <c r="C22" s="4" t="s">
        <v>75</v>
      </c>
      <c r="D22" s="35" t="s">
        <v>83</v>
      </c>
      <c r="E22" s="18">
        <v>120</v>
      </c>
      <c r="F22" s="18">
        <v>120</v>
      </c>
      <c r="G22" s="18"/>
      <c r="H22" s="17"/>
      <c r="I22" s="17">
        <v>5.5</v>
      </c>
      <c r="J22" s="18">
        <f t="shared" si="0"/>
        <v>660</v>
      </c>
      <c r="K22" s="18">
        <f t="shared" si="1"/>
        <v>240</v>
      </c>
      <c r="L22" s="17"/>
      <c r="M22" s="4"/>
      <c r="N22" s="4"/>
      <c r="O22" s="4"/>
      <c r="P22" s="4"/>
      <c r="Q22" s="4"/>
      <c r="R22" s="4"/>
    </row>
    <row r="23" spans="1:18" x14ac:dyDescent="0.3">
      <c r="A23" s="4">
        <v>22</v>
      </c>
      <c r="B23" s="12" t="s">
        <v>117</v>
      </c>
      <c r="C23" s="4" t="s">
        <v>75</v>
      </c>
      <c r="D23" s="34" t="s">
        <v>84</v>
      </c>
      <c r="E23" s="18">
        <v>120</v>
      </c>
      <c r="F23" s="18">
        <v>120</v>
      </c>
      <c r="G23" s="18"/>
      <c r="H23" s="17"/>
      <c r="I23" s="17">
        <v>5.5</v>
      </c>
      <c r="J23" s="18">
        <f t="shared" si="0"/>
        <v>660</v>
      </c>
      <c r="K23" s="18">
        <f t="shared" si="1"/>
        <v>240</v>
      </c>
      <c r="L23" s="17"/>
      <c r="M23" s="4"/>
      <c r="N23" s="4"/>
      <c r="O23" s="4"/>
      <c r="P23" s="4"/>
      <c r="Q23" s="4"/>
      <c r="R23" s="4"/>
    </row>
    <row r="24" spans="1:18" x14ac:dyDescent="0.3">
      <c r="A24" s="4">
        <v>23</v>
      </c>
      <c r="B24" s="12" t="s">
        <v>117</v>
      </c>
      <c r="C24" s="4" t="s">
        <v>75</v>
      </c>
      <c r="D24" s="35" t="s">
        <v>80</v>
      </c>
      <c r="E24" s="18">
        <v>200</v>
      </c>
      <c r="F24" s="18">
        <v>200</v>
      </c>
      <c r="G24" s="18"/>
      <c r="H24" s="17"/>
      <c r="I24" s="17">
        <v>5.5</v>
      </c>
      <c r="J24" s="18">
        <f t="shared" si="0"/>
        <v>1100</v>
      </c>
      <c r="K24" s="18">
        <f t="shared" si="1"/>
        <v>400</v>
      </c>
      <c r="L24" s="17"/>
      <c r="M24" s="4"/>
      <c r="N24" s="4"/>
      <c r="O24" s="4"/>
      <c r="P24" s="4"/>
      <c r="Q24" s="4"/>
      <c r="R24" s="4"/>
    </row>
    <row r="25" spans="1:18" x14ac:dyDescent="0.3">
      <c r="A25" s="4">
        <v>24</v>
      </c>
      <c r="B25" s="12" t="s">
        <v>117</v>
      </c>
      <c r="C25" s="4" t="s">
        <v>75</v>
      </c>
      <c r="D25" s="35" t="s">
        <v>77</v>
      </c>
      <c r="E25" s="18">
        <v>500</v>
      </c>
      <c r="F25" s="18">
        <v>500</v>
      </c>
      <c r="G25" s="18"/>
      <c r="H25" s="17"/>
      <c r="I25" s="17">
        <v>5.5</v>
      </c>
      <c r="J25" s="18">
        <f t="shared" si="0"/>
        <v>2750</v>
      </c>
      <c r="K25" s="18">
        <f t="shared" si="1"/>
        <v>1000</v>
      </c>
      <c r="L25" s="17"/>
      <c r="M25" s="4"/>
      <c r="N25" s="4"/>
      <c r="O25" s="4"/>
      <c r="P25" s="4"/>
      <c r="Q25" s="4"/>
      <c r="R25" s="4"/>
    </row>
    <row r="26" spans="1:18" x14ac:dyDescent="0.3">
      <c r="A26" s="4">
        <v>25</v>
      </c>
      <c r="B26" s="12" t="s">
        <v>117</v>
      </c>
      <c r="C26" s="4" t="s">
        <v>75</v>
      </c>
      <c r="D26" s="35" t="s">
        <v>78</v>
      </c>
      <c r="E26" s="18">
        <v>550</v>
      </c>
      <c r="F26" s="18">
        <v>550</v>
      </c>
      <c r="G26" s="18"/>
      <c r="H26" s="17"/>
      <c r="I26" s="17">
        <v>5.5</v>
      </c>
      <c r="J26" s="18">
        <f t="shared" si="0"/>
        <v>3025</v>
      </c>
      <c r="K26" s="18">
        <f t="shared" si="1"/>
        <v>1100</v>
      </c>
      <c r="L26" s="17"/>
      <c r="M26" s="4"/>
      <c r="N26" s="4"/>
      <c r="O26" s="4"/>
      <c r="P26" s="4"/>
      <c r="Q26" s="4"/>
      <c r="R26" s="4"/>
    </row>
    <row r="27" spans="1:18" x14ac:dyDescent="0.3">
      <c r="A27" s="4">
        <v>26</v>
      </c>
      <c r="B27" s="12" t="s">
        <v>117</v>
      </c>
      <c r="C27" s="4" t="s">
        <v>75</v>
      </c>
      <c r="D27" s="35" t="s">
        <v>85</v>
      </c>
      <c r="E27" s="18">
        <v>600</v>
      </c>
      <c r="F27" s="18">
        <v>600</v>
      </c>
      <c r="G27" s="18"/>
      <c r="H27" s="17"/>
      <c r="I27" s="17">
        <v>5.5</v>
      </c>
      <c r="J27" s="18">
        <f t="shared" si="0"/>
        <v>3300</v>
      </c>
      <c r="K27" s="18">
        <f t="shared" si="1"/>
        <v>1200</v>
      </c>
      <c r="L27" s="17"/>
      <c r="M27" s="4"/>
      <c r="N27" s="4"/>
      <c r="O27" s="4"/>
      <c r="P27" s="4"/>
      <c r="Q27" s="4"/>
      <c r="R27" s="4"/>
    </row>
    <row r="28" spans="1:18" x14ac:dyDescent="0.3">
      <c r="A28" s="4">
        <v>27</v>
      </c>
      <c r="B28" s="12" t="s">
        <v>117</v>
      </c>
      <c r="C28" s="4" t="s">
        <v>75</v>
      </c>
      <c r="D28" s="35" t="s">
        <v>79</v>
      </c>
      <c r="E28" s="18">
        <v>550</v>
      </c>
      <c r="F28" s="18">
        <v>550</v>
      </c>
      <c r="G28" s="18"/>
      <c r="H28" s="17"/>
      <c r="I28" s="17">
        <v>5.5</v>
      </c>
      <c r="J28" s="18">
        <f t="shared" si="0"/>
        <v>3025</v>
      </c>
      <c r="K28" s="18">
        <f t="shared" si="1"/>
        <v>1100</v>
      </c>
      <c r="L28" s="17"/>
      <c r="M28" s="4"/>
      <c r="N28" s="4"/>
      <c r="O28" s="4"/>
      <c r="P28" s="4"/>
      <c r="Q28" s="4"/>
      <c r="R28" s="4"/>
    </row>
    <row r="29" spans="1:18" ht="14.55" customHeight="1" x14ac:dyDescent="0.3">
      <c r="A29" s="4">
        <v>28</v>
      </c>
      <c r="B29" s="8" t="s">
        <v>118</v>
      </c>
      <c r="C29" s="4" t="s">
        <v>19</v>
      </c>
      <c r="D29" s="35" t="s">
        <v>14</v>
      </c>
      <c r="E29" s="18">
        <v>940</v>
      </c>
      <c r="F29" s="18">
        <v>940</v>
      </c>
      <c r="G29" s="18"/>
      <c r="H29" s="18"/>
      <c r="I29" s="18">
        <v>6.5</v>
      </c>
      <c r="J29" s="18">
        <f t="shared" si="0"/>
        <v>6110</v>
      </c>
      <c r="K29" s="18">
        <f t="shared" si="1"/>
        <v>1880</v>
      </c>
      <c r="L29" s="18"/>
      <c r="M29" s="4"/>
      <c r="N29" s="4"/>
      <c r="O29" s="4"/>
      <c r="P29" s="4">
        <v>8295</v>
      </c>
      <c r="Q29" s="4">
        <v>4021</v>
      </c>
      <c r="R29" s="4">
        <v>5806</v>
      </c>
    </row>
    <row r="30" spans="1:18" x14ac:dyDescent="0.3">
      <c r="A30" s="4">
        <v>29</v>
      </c>
      <c r="B30" s="8" t="s">
        <v>118</v>
      </c>
      <c r="C30" s="4" t="s">
        <v>19</v>
      </c>
      <c r="D30" s="35" t="s">
        <v>15</v>
      </c>
      <c r="E30" s="18">
        <v>720</v>
      </c>
      <c r="F30" s="18">
        <v>720</v>
      </c>
      <c r="G30" s="18"/>
      <c r="H30" s="18"/>
      <c r="I30" s="18">
        <v>6</v>
      </c>
      <c r="J30" s="18">
        <f t="shared" si="0"/>
        <v>4320</v>
      </c>
      <c r="K30" s="18">
        <f t="shared" si="1"/>
        <v>1440</v>
      </c>
      <c r="L30" s="18"/>
      <c r="M30" s="4"/>
      <c r="N30" s="4"/>
      <c r="O30" s="4"/>
      <c r="P30" s="4">
        <v>2668</v>
      </c>
      <c r="Q30" s="4">
        <v>3141</v>
      </c>
      <c r="R30" s="4">
        <v>3141</v>
      </c>
    </row>
    <row r="31" spans="1:18" x14ac:dyDescent="0.3">
      <c r="A31" s="4">
        <v>30</v>
      </c>
      <c r="B31" s="8" t="s">
        <v>118</v>
      </c>
      <c r="C31" s="4" t="s">
        <v>19</v>
      </c>
      <c r="D31" s="35" t="s">
        <v>51</v>
      </c>
      <c r="E31" s="18">
        <v>210</v>
      </c>
      <c r="F31" s="18">
        <v>210</v>
      </c>
      <c r="G31" s="18"/>
      <c r="H31" s="18"/>
      <c r="I31" s="18">
        <v>5.5</v>
      </c>
      <c r="J31" s="18">
        <f t="shared" si="0"/>
        <v>1155</v>
      </c>
      <c r="K31" s="18">
        <f t="shared" si="1"/>
        <v>420</v>
      </c>
      <c r="L31" s="18"/>
      <c r="M31" s="4"/>
      <c r="N31" s="4"/>
      <c r="O31" s="4"/>
      <c r="P31" s="4"/>
      <c r="Q31" s="4"/>
      <c r="R31" s="4"/>
    </row>
    <row r="32" spans="1:18" x14ac:dyDescent="0.3">
      <c r="A32" s="4">
        <v>31</v>
      </c>
      <c r="B32" s="8" t="s">
        <v>118</v>
      </c>
      <c r="C32" s="4" t="s">
        <v>19</v>
      </c>
      <c r="D32" s="35" t="s">
        <v>50</v>
      </c>
      <c r="E32" s="18">
        <v>195</v>
      </c>
      <c r="F32" s="18">
        <v>195</v>
      </c>
      <c r="G32" s="18"/>
      <c r="H32" s="18"/>
      <c r="I32" s="18">
        <v>5.5</v>
      </c>
      <c r="J32" s="18">
        <f t="shared" si="0"/>
        <v>1072.5</v>
      </c>
      <c r="K32" s="18">
        <f t="shared" si="1"/>
        <v>390</v>
      </c>
      <c r="L32" s="18"/>
      <c r="M32" s="4"/>
      <c r="N32" s="4"/>
      <c r="O32" s="4"/>
      <c r="P32" s="4"/>
      <c r="Q32" s="4"/>
      <c r="R32" s="4"/>
    </row>
    <row r="33" spans="1:18" x14ac:dyDescent="0.3">
      <c r="A33" s="4">
        <v>32</v>
      </c>
      <c r="B33" s="8" t="s">
        <v>118</v>
      </c>
      <c r="C33" s="4" t="s">
        <v>19</v>
      </c>
      <c r="D33" s="35" t="s">
        <v>6</v>
      </c>
      <c r="E33" s="18">
        <v>200</v>
      </c>
      <c r="F33" s="18">
        <v>200</v>
      </c>
      <c r="G33" s="18"/>
      <c r="H33" s="18"/>
      <c r="I33" s="18">
        <v>5.5</v>
      </c>
      <c r="J33" s="18">
        <f t="shared" si="0"/>
        <v>1100</v>
      </c>
      <c r="K33" s="18">
        <f t="shared" si="1"/>
        <v>400</v>
      </c>
      <c r="L33" s="18"/>
      <c r="M33" s="4"/>
      <c r="N33" s="4"/>
      <c r="O33" s="4"/>
      <c r="P33" s="4"/>
      <c r="Q33" s="4"/>
      <c r="R33" s="4"/>
    </row>
    <row r="34" spans="1:18" x14ac:dyDescent="0.3">
      <c r="A34" s="4">
        <v>33</v>
      </c>
      <c r="B34" s="8" t="s">
        <v>118</v>
      </c>
      <c r="C34" s="4" t="s">
        <v>19</v>
      </c>
      <c r="D34" s="35" t="s">
        <v>65</v>
      </c>
      <c r="E34" s="18">
        <v>220</v>
      </c>
      <c r="F34" s="18">
        <v>220</v>
      </c>
      <c r="G34" s="18"/>
      <c r="H34" s="18"/>
      <c r="I34" s="18">
        <v>5.5</v>
      </c>
      <c r="J34" s="18">
        <f t="shared" si="0"/>
        <v>1210</v>
      </c>
      <c r="K34" s="18">
        <f t="shared" si="1"/>
        <v>440</v>
      </c>
      <c r="L34" s="18"/>
      <c r="M34" s="4"/>
      <c r="N34" s="4"/>
      <c r="O34" s="4"/>
      <c r="P34" s="4"/>
      <c r="Q34" s="4"/>
      <c r="R34" s="4"/>
    </row>
    <row r="35" spans="1:18" x14ac:dyDescent="0.3">
      <c r="A35" s="4">
        <v>34</v>
      </c>
      <c r="B35" s="8" t="s">
        <v>118</v>
      </c>
      <c r="C35" s="1" t="s">
        <v>96</v>
      </c>
      <c r="D35" s="35" t="s">
        <v>95</v>
      </c>
      <c r="E35" s="22">
        <v>200</v>
      </c>
      <c r="F35" s="22">
        <v>200</v>
      </c>
      <c r="G35" s="22"/>
      <c r="H35" s="17"/>
      <c r="I35" s="17">
        <v>6</v>
      </c>
      <c r="J35" s="18">
        <f t="shared" si="0"/>
        <v>1200</v>
      </c>
      <c r="K35" s="18">
        <f t="shared" si="1"/>
        <v>400</v>
      </c>
      <c r="L35" s="17"/>
      <c r="M35" s="29"/>
      <c r="N35" s="29"/>
      <c r="O35" s="4"/>
      <c r="P35" s="4">
        <v>2668</v>
      </c>
      <c r="Q35" s="4">
        <v>3141</v>
      </c>
      <c r="R35" s="4">
        <v>3141</v>
      </c>
    </row>
    <row r="36" spans="1:18" x14ac:dyDescent="0.3">
      <c r="A36" s="4">
        <v>35</v>
      </c>
      <c r="B36" s="8" t="s">
        <v>118</v>
      </c>
      <c r="C36" s="1" t="s">
        <v>96</v>
      </c>
      <c r="D36" s="35" t="s">
        <v>108</v>
      </c>
      <c r="E36" s="22">
        <v>700</v>
      </c>
      <c r="F36" s="22">
        <v>700</v>
      </c>
      <c r="G36" s="22"/>
      <c r="H36" s="17"/>
      <c r="I36" s="17">
        <v>6.5</v>
      </c>
      <c r="J36" s="18">
        <f t="shared" si="0"/>
        <v>4550</v>
      </c>
      <c r="K36" s="18">
        <f t="shared" si="1"/>
        <v>1400</v>
      </c>
      <c r="L36" s="17"/>
      <c r="M36" s="29"/>
      <c r="N36" s="29"/>
      <c r="O36" s="4"/>
      <c r="P36" s="4"/>
      <c r="Q36" s="4"/>
      <c r="R36" s="4"/>
    </row>
    <row r="37" spans="1:18" x14ac:dyDescent="0.3">
      <c r="A37" s="4">
        <v>36</v>
      </c>
      <c r="B37" s="8" t="s">
        <v>118</v>
      </c>
      <c r="C37" s="1" t="s">
        <v>43</v>
      </c>
      <c r="D37" s="35" t="s">
        <v>94</v>
      </c>
      <c r="E37" s="22">
        <v>80</v>
      </c>
      <c r="F37" s="22">
        <v>80</v>
      </c>
      <c r="G37" s="22"/>
      <c r="H37" s="17"/>
      <c r="I37" s="17">
        <v>4</v>
      </c>
      <c r="J37" s="18">
        <f t="shared" si="0"/>
        <v>320</v>
      </c>
      <c r="K37" s="18">
        <f t="shared" si="1"/>
        <v>160</v>
      </c>
      <c r="L37" s="17"/>
      <c r="M37" s="29"/>
      <c r="N37" s="29"/>
      <c r="O37" s="4"/>
      <c r="P37" s="4">
        <v>2937</v>
      </c>
      <c r="Q37" s="4">
        <v>2767</v>
      </c>
      <c r="R37" s="4">
        <v>2767</v>
      </c>
    </row>
    <row r="38" spans="1:18" x14ac:dyDescent="0.3">
      <c r="A38" s="4">
        <v>37</v>
      </c>
      <c r="B38" s="8" t="s">
        <v>118</v>
      </c>
      <c r="C38" s="4" t="s">
        <v>133</v>
      </c>
      <c r="D38" s="35" t="s">
        <v>134</v>
      </c>
      <c r="E38" s="22">
        <v>800</v>
      </c>
      <c r="F38" s="22">
        <v>800</v>
      </c>
      <c r="G38" s="22"/>
      <c r="H38" s="17"/>
      <c r="I38" s="17">
        <v>5.5</v>
      </c>
      <c r="J38" s="18">
        <f t="shared" si="0"/>
        <v>4400</v>
      </c>
      <c r="K38" s="18">
        <f t="shared" si="1"/>
        <v>1600</v>
      </c>
      <c r="L38" s="17"/>
      <c r="M38" s="4"/>
      <c r="N38" s="4"/>
      <c r="O38" s="4"/>
      <c r="P38" s="4"/>
      <c r="Q38" s="4"/>
      <c r="R38" s="4"/>
    </row>
    <row r="39" spans="1:18" x14ac:dyDescent="0.3">
      <c r="A39" s="4">
        <v>38</v>
      </c>
      <c r="B39" s="8" t="s">
        <v>118</v>
      </c>
      <c r="C39" s="4" t="s">
        <v>133</v>
      </c>
      <c r="D39" s="35" t="s">
        <v>135</v>
      </c>
      <c r="E39" s="22">
        <v>1000</v>
      </c>
      <c r="F39" s="22">
        <v>1000</v>
      </c>
      <c r="G39" s="22"/>
      <c r="H39" s="17"/>
      <c r="I39" s="17">
        <v>5.5</v>
      </c>
      <c r="J39" s="18">
        <f t="shared" si="0"/>
        <v>5500</v>
      </c>
      <c r="K39" s="18">
        <f t="shared" si="1"/>
        <v>2000</v>
      </c>
      <c r="L39" s="17"/>
      <c r="M39" s="4"/>
      <c r="N39" s="4"/>
      <c r="O39" s="4"/>
      <c r="P39" s="4"/>
      <c r="Q39" s="4"/>
      <c r="R39" s="4"/>
    </row>
    <row r="40" spans="1:18" x14ac:dyDescent="0.3">
      <c r="A40" s="4">
        <v>39</v>
      </c>
      <c r="B40" s="8" t="s">
        <v>118</v>
      </c>
      <c r="C40" s="4" t="s">
        <v>133</v>
      </c>
      <c r="D40" s="35" t="s">
        <v>136</v>
      </c>
      <c r="E40" s="22">
        <v>500</v>
      </c>
      <c r="F40" s="22">
        <v>500</v>
      </c>
      <c r="G40" s="22"/>
      <c r="H40" s="17"/>
      <c r="I40" s="17">
        <v>5.5</v>
      </c>
      <c r="J40" s="18">
        <f t="shared" si="0"/>
        <v>2750</v>
      </c>
      <c r="K40" s="18">
        <f t="shared" si="1"/>
        <v>1000</v>
      </c>
      <c r="L40" s="17"/>
      <c r="M40" s="4"/>
      <c r="N40" s="4"/>
      <c r="O40" s="4"/>
      <c r="P40" s="4"/>
      <c r="Q40" s="4"/>
      <c r="R40" s="4"/>
    </row>
    <row r="41" spans="1:18" x14ac:dyDescent="0.3">
      <c r="A41" s="4">
        <v>40</v>
      </c>
      <c r="B41" s="8" t="s">
        <v>118</v>
      </c>
      <c r="C41" s="4" t="s">
        <v>133</v>
      </c>
      <c r="D41" s="36" t="s">
        <v>63</v>
      </c>
      <c r="E41" s="18">
        <v>500</v>
      </c>
      <c r="F41" s="18">
        <v>500</v>
      </c>
      <c r="G41" s="18"/>
      <c r="H41" s="18"/>
      <c r="I41" s="17">
        <v>5.5</v>
      </c>
      <c r="J41" s="18">
        <f t="shared" si="0"/>
        <v>2750</v>
      </c>
      <c r="K41" s="18">
        <f t="shared" si="1"/>
        <v>1000</v>
      </c>
      <c r="L41" s="18"/>
      <c r="M41" s="33"/>
      <c r="N41" s="33"/>
      <c r="O41" s="2"/>
      <c r="P41" s="4">
        <v>4331</v>
      </c>
      <c r="Q41" s="4">
        <v>4725</v>
      </c>
      <c r="R41" s="4">
        <v>4725</v>
      </c>
    </row>
    <row r="42" spans="1:18" x14ac:dyDescent="0.3">
      <c r="A42" s="4">
        <v>41</v>
      </c>
      <c r="B42" s="8" t="s">
        <v>118</v>
      </c>
      <c r="C42" s="4" t="s">
        <v>133</v>
      </c>
      <c r="D42" s="36" t="s">
        <v>129</v>
      </c>
      <c r="E42" s="18">
        <v>1000</v>
      </c>
      <c r="F42" s="18">
        <v>1000</v>
      </c>
      <c r="G42" s="18"/>
      <c r="H42" s="18"/>
      <c r="I42" s="17">
        <v>5.5</v>
      </c>
      <c r="J42" s="18">
        <f t="shared" si="0"/>
        <v>5500</v>
      </c>
      <c r="K42" s="18">
        <f t="shared" si="1"/>
        <v>2000</v>
      </c>
      <c r="L42" s="18"/>
      <c r="M42" s="33"/>
      <c r="N42" s="33"/>
      <c r="O42" s="2"/>
      <c r="P42" s="4"/>
      <c r="Q42" s="4"/>
      <c r="R42" s="4"/>
    </row>
    <row r="43" spans="1:18" x14ac:dyDescent="0.3">
      <c r="A43" s="4">
        <v>42</v>
      </c>
      <c r="B43" s="8" t="s">
        <v>118</v>
      </c>
      <c r="C43" s="4" t="s">
        <v>133</v>
      </c>
      <c r="D43" s="36" t="s">
        <v>109</v>
      </c>
      <c r="E43" s="18">
        <v>1200</v>
      </c>
      <c r="F43" s="18">
        <v>1200</v>
      </c>
      <c r="G43" s="18"/>
      <c r="H43" s="18"/>
      <c r="I43" s="17">
        <v>5.5</v>
      </c>
      <c r="J43" s="18">
        <f t="shared" si="0"/>
        <v>6600</v>
      </c>
      <c r="K43" s="18">
        <f t="shared" si="1"/>
        <v>2400</v>
      </c>
      <c r="L43" s="18"/>
      <c r="M43" s="33"/>
      <c r="N43" s="33"/>
      <c r="O43" s="2"/>
      <c r="P43" s="4"/>
      <c r="Q43" s="4"/>
      <c r="R43" s="4"/>
    </row>
    <row r="44" spans="1:18" x14ac:dyDescent="0.3">
      <c r="A44" s="4">
        <v>43</v>
      </c>
      <c r="B44" s="8" t="s">
        <v>118</v>
      </c>
      <c r="C44" s="4" t="s">
        <v>133</v>
      </c>
      <c r="D44" s="36" t="s">
        <v>132</v>
      </c>
      <c r="E44" s="18">
        <v>250</v>
      </c>
      <c r="F44" s="18">
        <v>250</v>
      </c>
      <c r="G44" s="18"/>
      <c r="H44" s="18"/>
      <c r="I44" s="17">
        <v>5.5</v>
      </c>
      <c r="J44" s="18">
        <f t="shared" si="0"/>
        <v>1375</v>
      </c>
      <c r="K44" s="18">
        <f t="shared" si="1"/>
        <v>500</v>
      </c>
      <c r="L44" s="18"/>
      <c r="M44" s="33"/>
      <c r="N44" s="33"/>
      <c r="O44" s="2"/>
      <c r="P44" s="4"/>
      <c r="Q44" s="4"/>
      <c r="R44" s="4"/>
    </row>
    <row r="45" spans="1:18" x14ac:dyDescent="0.3">
      <c r="A45" s="4">
        <v>44</v>
      </c>
      <c r="B45" s="8" t="s">
        <v>118</v>
      </c>
      <c r="C45" s="4" t="s">
        <v>133</v>
      </c>
      <c r="D45" s="36" t="s">
        <v>130</v>
      </c>
      <c r="E45" s="18">
        <v>300</v>
      </c>
      <c r="F45" s="18">
        <v>300</v>
      </c>
      <c r="G45" s="18"/>
      <c r="H45" s="18"/>
      <c r="I45" s="17">
        <v>5.5</v>
      </c>
      <c r="J45" s="18">
        <f t="shared" si="0"/>
        <v>1650</v>
      </c>
      <c r="K45" s="18">
        <f t="shared" si="1"/>
        <v>600</v>
      </c>
      <c r="L45" s="18"/>
      <c r="M45" s="33"/>
      <c r="N45" s="33"/>
      <c r="O45" s="2"/>
      <c r="P45" s="4"/>
      <c r="Q45" s="4"/>
      <c r="R45" s="4"/>
    </row>
    <row r="46" spans="1:18" x14ac:dyDescent="0.3">
      <c r="A46" s="4">
        <v>45</v>
      </c>
      <c r="B46" s="8" t="s">
        <v>118</v>
      </c>
      <c r="C46" s="4" t="s">
        <v>133</v>
      </c>
      <c r="D46" s="36" t="s">
        <v>131</v>
      </c>
      <c r="E46" s="18">
        <v>200</v>
      </c>
      <c r="F46" s="18">
        <v>200</v>
      </c>
      <c r="G46" s="18"/>
      <c r="H46" s="18"/>
      <c r="I46" s="17">
        <v>5.5</v>
      </c>
      <c r="J46" s="18">
        <f t="shared" si="0"/>
        <v>1100</v>
      </c>
      <c r="K46" s="18">
        <f t="shared" si="1"/>
        <v>400</v>
      </c>
      <c r="L46" s="18"/>
      <c r="M46" s="33"/>
      <c r="N46" s="33"/>
      <c r="O46" s="2"/>
      <c r="P46" s="4"/>
      <c r="Q46" s="4"/>
      <c r="R46" s="4"/>
    </row>
    <row r="47" spans="1:18" x14ac:dyDescent="0.3">
      <c r="A47" s="4">
        <v>46</v>
      </c>
      <c r="B47" s="8" t="s">
        <v>118</v>
      </c>
      <c r="C47" s="4" t="s">
        <v>22</v>
      </c>
      <c r="D47" s="35" t="s">
        <v>45</v>
      </c>
      <c r="E47" s="18">
        <v>1400</v>
      </c>
      <c r="F47" s="18">
        <v>1400</v>
      </c>
      <c r="G47" s="18"/>
      <c r="H47" s="18"/>
      <c r="I47" s="17">
        <v>6.5</v>
      </c>
      <c r="J47" s="18">
        <f t="shared" si="0"/>
        <v>9100</v>
      </c>
      <c r="K47" s="18">
        <f t="shared" si="1"/>
        <v>2800</v>
      </c>
      <c r="L47" s="18"/>
      <c r="M47" s="33"/>
      <c r="N47" s="33"/>
      <c r="O47" s="2"/>
      <c r="P47" s="4"/>
      <c r="Q47" s="4"/>
      <c r="R47" s="4"/>
    </row>
    <row r="48" spans="1:18" x14ac:dyDescent="0.3">
      <c r="A48" s="4">
        <v>47</v>
      </c>
      <c r="B48" s="8" t="s">
        <v>118</v>
      </c>
      <c r="C48" s="4" t="s">
        <v>22</v>
      </c>
      <c r="D48" s="35" t="s">
        <v>60</v>
      </c>
      <c r="E48" s="18">
        <v>500</v>
      </c>
      <c r="F48" s="18">
        <v>500</v>
      </c>
      <c r="G48" s="18"/>
      <c r="H48" s="18"/>
      <c r="I48" s="18">
        <v>6</v>
      </c>
      <c r="J48" s="18">
        <f t="shared" si="0"/>
        <v>3000</v>
      </c>
      <c r="K48" s="18">
        <f t="shared" si="1"/>
        <v>1000</v>
      </c>
      <c r="L48" s="18"/>
      <c r="M48" s="33"/>
      <c r="N48" s="33"/>
      <c r="O48" s="2"/>
      <c r="P48" s="4"/>
      <c r="Q48" s="4"/>
      <c r="R48" s="4"/>
    </row>
    <row r="49" spans="1:18" ht="14.55" customHeight="1" x14ac:dyDescent="0.3">
      <c r="A49" s="4">
        <v>48</v>
      </c>
      <c r="B49" s="8" t="s">
        <v>118</v>
      </c>
      <c r="C49" s="4" t="s">
        <v>22</v>
      </c>
      <c r="D49" s="34" t="s">
        <v>59</v>
      </c>
      <c r="E49" s="17">
        <v>700</v>
      </c>
      <c r="F49" s="17">
        <v>700</v>
      </c>
      <c r="G49" s="17"/>
      <c r="H49" s="17"/>
      <c r="I49" s="17">
        <v>6</v>
      </c>
      <c r="J49" s="18">
        <f t="shared" si="0"/>
        <v>4200</v>
      </c>
      <c r="K49" s="18">
        <f t="shared" si="1"/>
        <v>1400</v>
      </c>
      <c r="L49" s="17"/>
      <c r="M49" s="29"/>
      <c r="N49" s="29"/>
      <c r="O49" s="4"/>
      <c r="P49" s="4"/>
      <c r="Q49" s="4"/>
      <c r="R49" s="4"/>
    </row>
    <row r="50" spans="1:18" ht="14.55" customHeight="1" x14ac:dyDescent="0.3">
      <c r="A50" s="4">
        <v>49</v>
      </c>
      <c r="B50" s="8" t="s">
        <v>118</v>
      </c>
      <c r="C50" s="4" t="s">
        <v>22</v>
      </c>
      <c r="D50" s="35" t="s">
        <v>61</v>
      </c>
      <c r="E50" s="17">
        <v>1600</v>
      </c>
      <c r="F50" s="17">
        <v>1600</v>
      </c>
      <c r="G50" s="17"/>
      <c r="H50" s="17"/>
      <c r="I50" s="17">
        <v>6</v>
      </c>
      <c r="J50" s="18">
        <f t="shared" si="0"/>
        <v>9600</v>
      </c>
      <c r="K50" s="18">
        <f t="shared" si="1"/>
        <v>3200</v>
      </c>
      <c r="L50" s="17"/>
      <c r="M50" s="4"/>
      <c r="N50" s="4"/>
      <c r="O50" s="4"/>
      <c r="P50" s="4"/>
      <c r="Q50" s="4"/>
      <c r="R50" s="4"/>
    </row>
    <row r="51" spans="1:18" ht="14.55" customHeight="1" x14ac:dyDescent="0.3">
      <c r="A51" s="4">
        <v>50</v>
      </c>
      <c r="B51" s="8" t="s">
        <v>118</v>
      </c>
      <c r="C51" s="4" t="s">
        <v>22</v>
      </c>
      <c r="D51" s="35" t="s">
        <v>62</v>
      </c>
      <c r="E51" s="17">
        <v>1600</v>
      </c>
      <c r="F51" s="17">
        <v>600</v>
      </c>
      <c r="G51" s="17"/>
      <c r="H51" s="17"/>
      <c r="I51" s="17">
        <v>6</v>
      </c>
      <c r="J51" s="18">
        <f t="shared" si="0"/>
        <v>3600</v>
      </c>
      <c r="K51" s="18">
        <f t="shared" si="1"/>
        <v>1200</v>
      </c>
      <c r="L51" s="17"/>
      <c r="M51" s="4"/>
      <c r="N51" s="4"/>
      <c r="O51" s="4"/>
      <c r="P51" s="4"/>
      <c r="Q51" s="4"/>
      <c r="R51" s="4"/>
    </row>
    <row r="52" spans="1:18" s="27" customFormat="1" ht="57.6" x14ac:dyDescent="0.3">
      <c r="A52" s="23">
        <v>51</v>
      </c>
      <c r="B52" s="24" t="s">
        <v>118</v>
      </c>
      <c r="C52" s="23" t="s">
        <v>22</v>
      </c>
      <c r="D52" s="35" t="s">
        <v>109</v>
      </c>
      <c r="E52" s="26">
        <v>950</v>
      </c>
      <c r="F52" s="26">
        <v>500</v>
      </c>
      <c r="G52" s="26"/>
      <c r="H52" s="26"/>
      <c r="I52" s="26">
        <v>6</v>
      </c>
      <c r="J52" s="25">
        <f t="shared" si="0"/>
        <v>3000</v>
      </c>
      <c r="K52" s="25">
        <f t="shared" si="1"/>
        <v>1000</v>
      </c>
      <c r="L52" s="26"/>
      <c r="M52" s="23"/>
      <c r="N52" s="23"/>
      <c r="O52" s="24" t="s">
        <v>110</v>
      </c>
      <c r="P52" s="23"/>
      <c r="Q52" s="23"/>
      <c r="R52" s="23"/>
    </row>
    <row r="53" spans="1:18" ht="14.55" customHeight="1" x14ac:dyDescent="0.3">
      <c r="A53" s="4">
        <v>52</v>
      </c>
      <c r="B53" s="8" t="s">
        <v>118</v>
      </c>
      <c r="C53" s="4" t="s">
        <v>52</v>
      </c>
      <c r="D53" s="34" t="s">
        <v>71</v>
      </c>
      <c r="E53" s="17">
        <v>140</v>
      </c>
      <c r="G53" s="17"/>
      <c r="H53" s="17">
        <v>140</v>
      </c>
      <c r="I53" s="17">
        <v>5.5</v>
      </c>
      <c r="J53" s="18">
        <f t="shared" si="0"/>
        <v>770</v>
      </c>
      <c r="K53" s="18">
        <f t="shared" si="1"/>
        <v>280</v>
      </c>
      <c r="L53" s="17"/>
      <c r="M53" s="4"/>
      <c r="N53" s="4"/>
      <c r="O53" s="4"/>
      <c r="P53" s="4"/>
      <c r="Q53" s="4"/>
      <c r="R53" s="4"/>
    </row>
    <row r="54" spans="1:18" ht="14.55" customHeight="1" x14ac:dyDescent="0.3">
      <c r="A54" s="4">
        <v>53</v>
      </c>
      <c r="B54" s="8" t="s">
        <v>118</v>
      </c>
      <c r="C54" s="4" t="s">
        <v>52</v>
      </c>
      <c r="D54" s="35" t="s">
        <v>73</v>
      </c>
      <c r="E54" s="17">
        <v>350</v>
      </c>
      <c r="F54" s="17">
        <v>350</v>
      </c>
      <c r="G54" s="17"/>
      <c r="H54" s="4"/>
      <c r="I54" s="4">
        <v>5.5</v>
      </c>
      <c r="J54" s="18">
        <f t="shared" si="0"/>
        <v>1925</v>
      </c>
      <c r="K54" s="18">
        <f t="shared" si="1"/>
        <v>700</v>
      </c>
      <c r="L54" s="4"/>
      <c r="M54" s="4"/>
      <c r="N54" s="4"/>
      <c r="O54" s="4"/>
      <c r="P54" s="4"/>
      <c r="Q54" s="4"/>
      <c r="R54" s="4"/>
    </row>
    <row r="55" spans="1:18" ht="14.55" customHeight="1" x14ac:dyDescent="0.3">
      <c r="A55" s="4">
        <v>54</v>
      </c>
      <c r="B55" s="8" t="s">
        <v>118</v>
      </c>
      <c r="C55" s="4" t="s">
        <v>52</v>
      </c>
      <c r="D55" s="35" t="s">
        <v>74</v>
      </c>
      <c r="E55" s="17">
        <v>450</v>
      </c>
      <c r="F55" s="17">
        <v>450</v>
      </c>
      <c r="G55" s="17"/>
      <c r="H55" s="4"/>
      <c r="I55" s="4">
        <v>5.5</v>
      </c>
      <c r="J55" s="18">
        <f t="shared" si="0"/>
        <v>2475</v>
      </c>
      <c r="K55" s="18">
        <f t="shared" si="1"/>
        <v>900</v>
      </c>
      <c r="L55" s="4"/>
      <c r="M55" s="4"/>
      <c r="N55" s="4"/>
      <c r="O55" s="4"/>
      <c r="P55" s="4"/>
      <c r="Q55" s="4"/>
      <c r="R55" s="4"/>
    </row>
    <row r="56" spans="1:18" ht="14.55" customHeight="1" x14ac:dyDescent="0.3">
      <c r="A56" s="4">
        <v>55</v>
      </c>
      <c r="B56" s="8" t="s">
        <v>118</v>
      </c>
      <c r="C56" s="4" t="s">
        <v>52</v>
      </c>
      <c r="D56" s="35" t="s">
        <v>72</v>
      </c>
      <c r="E56" s="17">
        <v>140</v>
      </c>
      <c r="F56" s="17"/>
      <c r="G56" s="17"/>
      <c r="H56" s="17">
        <v>140</v>
      </c>
      <c r="I56" s="17">
        <v>6</v>
      </c>
      <c r="J56" s="18">
        <f t="shared" si="0"/>
        <v>840</v>
      </c>
      <c r="K56" s="18">
        <f t="shared" si="1"/>
        <v>280</v>
      </c>
      <c r="L56" s="17"/>
      <c r="M56" s="4"/>
      <c r="N56" s="4"/>
      <c r="O56" s="4"/>
      <c r="P56" s="4"/>
      <c r="Q56" s="4"/>
      <c r="R56" s="4"/>
    </row>
    <row r="57" spans="1:18" ht="14.55" customHeight="1" x14ac:dyDescent="0.3">
      <c r="A57" s="4">
        <v>56</v>
      </c>
      <c r="B57" s="8" t="s">
        <v>118</v>
      </c>
      <c r="C57" s="4" t="s">
        <v>52</v>
      </c>
      <c r="D57" s="37" t="s">
        <v>30</v>
      </c>
      <c r="E57" s="17">
        <v>500</v>
      </c>
      <c r="F57" s="17">
        <v>500</v>
      </c>
      <c r="G57" s="17"/>
      <c r="H57" s="17"/>
      <c r="I57" s="17">
        <v>6</v>
      </c>
      <c r="J57" s="18">
        <f t="shared" si="0"/>
        <v>3000</v>
      </c>
      <c r="K57" s="18">
        <f t="shared" si="1"/>
        <v>1000</v>
      </c>
      <c r="L57" s="17"/>
      <c r="M57" s="4"/>
      <c r="N57" s="4"/>
      <c r="O57" s="4"/>
      <c r="P57" s="4"/>
      <c r="Q57" s="4"/>
      <c r="R57" s="4"/>
    </row>
    <row r="58" spans="1:18" x14ac:dyDescent="0.3">
      <c r="A58" s="4">
        <v>57</v>
      </c>
      <c r="B58" s="8" t="s">
        <v>118</v>
      </c>
      <c r="C58" s="4" t="s">
        <v>20</v>
      </c>
      <c r="D58" s="35" t="s">
        <v>44</v>
      </c>
      <c r="E58" s="17">
        <v>750</v>
      </c>
      <c r="F58" s="17">
        <v>750</v>
      </c>
      <c r="G58" s="17"/>
      <c r="H58" s="17"/>
      <c r="I58" s="17">
        <v>6</v>
      </c>
      <c r="J58" s="18">
        <f t="shared" si="0"/>
        <v>4500</v>
      </c>
      <c r="K58" s="18">
        <f t="shared" si="1"/>
        <v>1500</v>
      </c>
      <c r="L58" s="17"/>
      <c r="M58" s="4"/>
      <c r="N58" s="4"/>
      <c r="O58" s="4"/>
      <c r="P58" s="4">
        <v>2937</v>
      </c>
      <c r="Q58" s="4">
        <v>2767</v>
      </c>
      <c r="R58" s="4">
        <v>2767</v>
      </c>
    </row>
    <row r="59" spans="1:18" x14ac:dyDescent="0.3">
      <c r="A59" s="4">
        <v>58</v>
      </c>
      <c r="B59" s="8" t="s">
        <v>118</v>
      </c>
      <c r="C59" s="4" t="s">
        <v>111</v>
      </c>
      <c r="D59" s="35" t="s">
        <v>46</v>
      </c>
      <c r="E59" s="18">
        <v>1500</v>
      </c>
      <c r="F59" s="18">
        <v>1500</v>
      </c>
      <c r="G59" s="18"/>
      <c r="H59" s="18"/>
      <c r="I59" s="17">
        <v>6</v>
      </c>
      <c r="J59" s="18">
        <f t="shared" si="0"/>
        <v>9000</v>
      </c>
      <c r="K59" s="18">
        <f t="shared" si="1"/>
        <v>3000</v>
      </c>
      <c r="L59" s="18"/>
      <c r="M59" s="4"/>
      <c r="N59" s="4"/>
      <c r="O59" s="4"/>
      <c r="P59" s="3"/>
      <c r="Q59" s="3"/>
      <c r="R59" s="3"/>
    </row>
    <row r="60" spans="1:18" x14ac:dyDescent="0.3">
      <c r="A60" s="4">
        <v>59</v>
      </c>
      <c r="B60" s="8" t="s">
        <v>118</v>
      </c>
      <c r="C60" s="4" t="s">
        <v>111</v>
      </c>
      <c r="D60" s="35" t="s">
        <v>57</v>
      </c>
      <c r="E60" s="17">
        <v>400</v>
      </c>
      <c r="F60" s="17">
        <v>400</v>
      </c>
      <c r="G60" s="19"/>
      <c r="H60" s="18"/>
      <c r="I60" s="17">
        <v>6</v>
      </c>
      <c r="J60" s="18">
        <f t="shared" si="0"/>
        <v>2400</v>
      </c>
      <c r="K60" s="18">
        <f t="shared" si="1"/>
        <v>800</v>
      </c>
      <c r="L60" s="18"/>
      <c r="M60" s="4"/>
      <c r="N60" s="4"/>
      <c r="O60" s="4"/>
      <c r="P60" s="3"/>
      <c r="Q60" s="3"/>
      <c r="R60" s="3"/>
    </row>
    <row r="61" spans="1:18" x14ac:dyDescent="0.3">
      <c r="A61" s="4">
        <v>60</v>
      </c>
      <c r="B61" s="8" t="s">
        <v>118</v>
      </c>
      <c r="C61" s="4" t="s">
        <v>111</v>
      </c>
      <c r="D61" s="35" t="s">
        <v>31</v>
      </c>
      <c r="E61" s="18">
        <v>1600</v>
      </c>
      <c r="F61" s="18">
        <v>1600</v>
      </c>
      <c r="G61" s="18"/>
      <c r="H61" s="18"/>
      <c r="I61" s="17">
        <v>6</v>
      </c>
      <c r="J61" s="18">
        <f t="shared" si="0"/>
        <v>9600</v>
      </c>
      <c r="K61" s="18">
        <f t="shared" si="1"/>
        <v>3200</v>
      </c>
      <c r="L61" s="18"/>
      <c r="M61" s="4"/>
      <c r="N61" s="4"/>
      <c r="O61" s="4"/>
      <c r="P61" s="3"/>
      <c r="Q61" s="3"/>
      <c r="R61" s="3"/>
    </row>
    <row r="62" spans="1:18" x14ac:dyDescent="0.3">
      <c r="A62" s="4">
        <v>61</v>
      </c>
      <c r="B62" s="8" t="s">
        <v>118</v>
      </c>
      <c r="C62" s="4" t="s">
        <v>111</v>
      </c>
      <c r="D62" s="35" t="s">
        <v>56</v>
      </c>
      <c r="E62" s="18">
        <v>210</v>
      </c>
      <c r="F62" s="18">
        <v>210</v>
      </c>
      <c r="G62" s="18"/>
      <c r="H62" s="18"/>
      <c r="I62" s="17">
        <v>6</v>
      </c>
      <c r="J62" s="18">
        <f t="shared" si="0"/>
        <v>1260</v>
      </c>
      <c r="K62" s="18">
        <f t="shared" si="1"/>
        <v>420</v>
      </c>
      <c r="L62" s="18"/>
      <c r="M62" s="4"/>
      <c r="N62" s="4"/>
      <c r="O62" s="4"/>
      <c r="P62" s="4"/>
      <c r="Q62" s="4"/>
      <c r="R62" s="4"/>
    </row>
    <row r="63" spans="1:18" x14ac:dyDescent="0.3">
      <c r="A63" s="4">
        <v>62</v>
      </c>
      <c r="B63" s="8" t="s">
        <v>118</v>
      </c>
      <c r="C63" s="4" t="s">
        <v>111</v>
      </c>
      <c r="D63" s="35" t="s">
        <v>55</v>
      </c>
      <c r="E63" s="18">
        <v>200</v>
      </c>
      <c r="F63" s="18">
        <v>200</v>
      </c>
      <c r="G63" s="18"/>
      <c r="H63" s="18"/>
      <c r="I63" s="17">
        <v>6</v>
      </c>
      <c r="J63" s="18">
        <f t="shared" si="0"/>
        <v>1200</v>
      </c>
      <c r="K63" s="18">
        <f t="shared" si="1"/>
        <v>400</v>
      </c>
      <c r="L63" s="18"/>
      <c r="M63" s="4"/>
      <c r="N63" s="4"/>
      <c r="O63" s="4"/>
      <c r="P63" s="4"/>
      <c r="Q63" s="4"/>
      <c r="R63" s="4"/>
    </row>
    <row r="64" spans="1:18" x14ac:dyDescent="0.3">
      <c r="A64" s="4">
        <v>63</v>
      </c>
      <c r="B64" s="8" t="s">
        <v>118</v>
      </c>
      <c r="C64" s="4" t="s">
        <v>111</v>
      </c>
      <c r="D64" s="35" t="s">
        <v>54</v>
      </c>
      <c r="E64" s="18">
        <v>200</v>
      </c>
      <c r="F64" s="18">
        <v>200</v>
      </c>
      <c r="G64" s="18"/>
      <c r="H64" s="18"/>
      <c r="I64" s="17">
        <v>6</v>
      </c>
      <c r="J64" s="18">
        <f t="shared" si="0"/>
        <v>1200</v>
      </c>
      <c r="K64" s="18">
        <f t="shared" si="1"/>
        <v>400</v>
      </c>
      <c r="L64" s="18"/>
      <c r="M64" s="4"/>
      <c r="N64" s="4"/>
      <c r="O64" s="4"/>
      <c r="P64" s="4"/>
      <c r="Q64" s="4"/>
      <c r="R64" s="4"/>
    </row>
    <row r="65" spans="1:18" x14ac:dyDescent="0.3">
      <c r="A65" s="4">
        <v>64</v>
      </c>
      <c r="B65" s="8" t="s">
        <v>118</v>
      </c>
      <c r="C65" s="4" t="s">
        <v>111</v>
      </c>
      <c r="D65" s="35" t="s">
        <v>53</v>
      </c>
      <c r="E65" s="18">
        <v>250</v>
      </c>
      <c r="F65" s="18">
        <v>250</v>
      </c>
      <c r="G65" s="18"/>
      <c r="H65" s="18"/>
      <c r="I65" s="17">
        <v>6</v>
      </c>
      <c r="J65" s="18">
        <f t="shared" si="0"/>
        <v>1500</v>
      </c>
      <c r="K65" s="18">
        <f t="shared" si="1"/>
        <v>500</v>
      </c>
      <c r="L65" s="18"/>
      <c r="M65" s="4"/>
      <c r="N65" s="4"/>
      <c r="O65" s="4"/>
      <c r="P65" s="4"/>
      <c r="Q65" s="4"/>
      <c r="R65" s="4"/>
    </row>
    <row r="66" spans="1:18" x14ac:dyDescent="0.3">
      <c r="A66" s="4">
        <v>65</v>
      </c>
      <c r="B66" s="8" t="s">
        <v>118</v>
      </c>
      <c r="C66" s="4" t="s">
        <v>111</v>
      </c>
      <c r="D66" s="34" t="s">
        <v>32</v>
      </c>
      <c r="E66" s="18">
        <v>310</v>
      </c>
      <c r="F66" s="18">
        <v>310</v>
      </c>
      <c r="G66" s="18"/>
      <c r="H66" s="18"/>
      <c r="I66" s="17">
        <v>6</v>
      </c>
      <c r="J66" s="18">
        <f t="shared" si="0"/>
        <v>1860</v>
      </c>
      <c r="K66" s="18">
        <f t="shared" si="1"/>
        <v>620</v>
      </c>
      <c r="L66" s="18"/>
      <c r="M66" s="4"/>
      <c r="N66" s="4"/>
      <c r="O66" s="4"/>
      <c r="P66" s="29">
        <v>6202</v>
      </c>
      <c r="Q66" s="29">
        <v>2492</v>
      </c>
      <c r="R66" s="29">
        <v>4341</v>
      </c>
    </row>
    <row r="67" spans="1:18" ht="24" customHeight="1" x14ac:dyDescent="0.3">
      <c r="A67" s="4">
        <v>66</v>
      </c>
      <c r="B67" s="8" t="s">
        <v>118</v>
      </c>
      <c r="C67" s="4" t="s">
        <v>111</v>
      </c>
      <c r="D67" s="35" t="s">
        <v>16</v>
      </c>
      <c r="E67" s="18">
        <v>1900</v>
      </c>
      <c r="F67" s="18">
        <v>1900</v>
      </c>
      <c r="G67" s="18"/>
      <c r="H67" s="18"/>
      <c r="I67" s="17">
        <v>6</v>
      </c>
      <c r="J67" s="18">
        <f t="shared" ref="J67:J108" si="2">(F67*I67)+(G67*I67)+(H67*I67)</f>
        <v>11400</v>
      </c>
      <c r="K67" s="18">
        <f t="shared" ref="K67:K74" si="3">2*(F67+G67+H67)</f>
        <v>3800</v>
      </c>
      <c r="L67" s="18"/>
      <c r="M67" s="4"/>
      <c r="N67" s="4"/>
      <c r="O67" s="4"/>
      <c r="P67" s="29"/>
      <c r="Q67" s="29"/>
      <c r="R67" s="29"/>
    </row>
    <row r="68" spans="1:18" ht="24" customHeight="1" x14ac:dyDescent="0.3">
      <c r="A68" s="4">
        <v>67</v>
      </c>
      <c r="B68" s="8" t="s">
        <v>118</v>
      </c>
      <c r="C68" s="4" t="s">
        <v>97</v>
      </c>
      <c r="D68" s="38" t="s">
        <v>98</v>
      </c>
      <c r="E68" s="18">
        <v>400</v>
      </c>
      <c r="F68" s="4"/>
      <c r="G68" s="4"/>
      <c r="H68" s="18">
        <v>400</v>
      </c>
      <c r="I68" s="17">
        <v>5.5</v>
      </c>
      <c r="J68" s="18">
        <f t="shared" si="2"/>
        <v>2200</v>
      </c>
      <c r="K68" s="18">
        <f t="shared" si="3"/>
        <v>800</v>
      </c>
      <c r="L68" s="18"/>
      <c r="M68" s="4"/>
      <c r="N68" s="4"/>
      <c r="O68" s="4"/>
      <c r="P68" s="4"/>
      <c r="Q68" s="4"/>
      <c r="R68" s="4"/>
    </row>
    <row r="69" spans="1:18" ht="24" customHeight="1" x14ac:dyDescent="0.3">
      <c r="A69" s="4">
        <v>68</v>
      </c>
      <c r="B69" s="8" t="s">
        <v>118</v>
      </c>
      <c r="C69" s="4" t="s">
        <v>97</v>
      </c>
      <c r="D69" s="38" t="s">
        <v>100</v>
      </c>
      <c r="E69" s="18">
        <v>500</v>
      </c>
      <c r="F69" s="4"/>
      <c r="G69" s="4"/>
      <c r="H69" s="18">
        <v>500</v>
      </c>
      <c r="I69" s="18">
        <v>5.5</v>
      </c>
      <c r="J69" s="18">
        <f t="shared" si="2"/>
        <v>2750</v>
      </c>
      <c r="K69" s="18">
        <f t="shared" si="3"/>
        <v>1000</v>
      </c>
      <c r="L69" s="18"/>
      <c r="M69" s="4"/>
      <c r="N69" s="4"/>
      <c r="O69" s="4"/>
      <c r="P69" s="4"/>
      <c r="Q69" s="4"/>
      <c r="R69" s="4"/>
    </row>
    <row r="70" spans="1:18" ht="24" customHeight="1" x14ac:dyDescent="0.3">
      <c r="A70" s="4">
        <v>69</v>
      </c>
      <c r="B70" s="8" t="s">
        <v>118</v>
      </c>
      <c r="C70" s="4" t="s">
        <v>97</v>
      </c>
      <c r="D70" s="38" t="s">
        <v>99</v>
      </c>
      <c r="E70" s="18">
        <v>250</v>
      </c>
      <c r="F70" s="4"/>
      <c r="G70" s="4"/>
      <c r="H70" s="18">
        <v>250</v>
      </c>
      <c r="I70" s="18">
        <v>5.5</v>
      </c>
      <c r="J70" s="18">
        <f t="shared" si="2"/>
        <v>1375</v>
      </c>
      <c r="K70" s="18">
        <f t="shared" si="3"/>
        <v>500</v>
      </c>
      <c r="L70" s="18"/>
      <c r="M70" s="4"/>
      <c r="N70" s="4"/>
      <c r="O70" s="4"/>
      <c r="P70" s="4"/>
      <c r="Q70" s="4"/>
      <c r="R70" s="4"/>
    </row>
    <row r="71" spans="1:18" ht="24" customHeight="1" x14ac:dyDescent="0.3">
      <c r="A71" s="4">
        <v>70</v>
      </c>
      <c r="B71" s="8" t="s">
        <v>118</v>
      </c>
      <c r="C71" s="4" t="s">
        <v>97</v>
      </c>
      <c r="D71" s="38" t="s">
        <v>101</v>
      </c>
      <c r="E71" s="18">
        <v>250</v>
      </c>
      <c r="F71" s="4"/>
      <c r="G71" s="4"/>
      <c r="H71" s="18">
        <v>250</v>
      </c>
      <c r="I71" s="18">
        <v>5.5</v>
      </c>
      <c r="J71" s="18">
        <f t="shared" si="2"/>
        <v>1375</v>
      </c>
      <c r="K71" s="18">
        <f t="shared" si="3"/>
        <v>500</v>
      </c>
      <c r="L71" s="18"/>
      <c r="M71" s="4"/>
      <c r="N71" s="4"/>
      <c r="O71" s="4"/>
      <c r="P71" s="4"/>
      <c r="Q71" s="4"/>
      <c r="R71" s="4"/>
    </row>
    <row r="72" spans="1:18" ht="24" customHeight="1" x14ac:dyDescent="0.3">
      <c r="A72" s="4">
        <v>71</v>
      </c>
      <c r="B72" s="8" t="s">
        <v>118</v>
      </c>
      <c r="C72" s="4" t="s">
        <v>97</v>
      </c>
      <c r="D72" s="35" t="s">
        <v>102</v>
      </c>
      <c r="E72" s="18">
        <v>200</v>
      </c>
      <c r="F72" s="4"/>
      <c r="G72" s="4"/>
      <c r="H72" s="18">
        <v>200</v>
      </c>
      <c r="I72" s="18">
        <v>5.5</v>
      </c>
      <c r="J72" s="18">
        <f t="shared" si="2"/>
        <v>1100</v>
      </c>
      <c r="K72" s="18">
        <f t="shared" si="3"/>
        <v>400</v>
      </c>
      <c r="L72" s="18"/>
      <c r="M72" s="4"/>
      <c r="N72" s="4"/>
      <c r="O72" s="4"/>
      <c r="P72" s="4"/>
      <c r="Q72" s="4"/>
      <c r="R72" s="4"/>
    </row>
    <row r="73" spans="1:18" x14ac:dyDescent="0.3">
      <c r="A73" s="4">
        <v>72</v>
      </c>
      <c r="B73" s="4" t="s">
        <v>119</v>
      </c>
      <c r="C73" s="4" t="s">
        <v>116</v>
      </c>
      <c r="D73" s="35" t="s">
        <v>48</v>
      </c>
      <c r="E73" s="18">
        <v>500</v>
      </c>
      <c r="F73" s="18">
        <v>500</v>
      </c>
      <c r="G73" s="18"/>
      <c r="H73" s="18"/>
      <c r="I73" s="18">
        <v>5.5</v>
      </c>
      <c r="J73" s="18">
        <f t="shared" si="2"/>
        <v>2750</v>
      </c>
      <c r="K73" s="18">
        <f t="shared" si="3"/>
        <v>1000</v>
      </c>
      <c r="L73" s="18"/>
      <c r="M73" s="11"/>
      <c r="N73" s="11"/>
      <c r="O73" s="11"/>
      <c r="P73" s="29">
        <v>438</v>
      </c>
      <c r="Q73" s="29">
        <v>1031</v>
      </c>
      <c r="R73" s="29">
        <v>1031</v>
      </c>
    </row>
    <row r="74" spans="1:18" x14ac:dyDescent="0.3">
      <c r="A74" s="4">
        <v>73</v>
      </c>
      <c r="B74" s="4" t="s">
        <v>119</v>
      </c>
      <c r="C74" s="4" t="s">
        <v>116</v>
      </c>
      <c r="D74" s="35" t="s">
        <v>49</v>
      </c>
      <c r="E74" s="17">
        <v>200</v>
      </c>
      <c r="F74" s="17">
        <v>200</v>
      </c>
      <c r="G74" s="17"/>
      <c r="H74" s="17"/>
      <c r="I74" s="18">
        <v>5.5</v>
      </c>
      <c r="J74" s="18">
        <f t="shared" si="2"/>
        <v>1100</v>
      </c>
      <c r="K74" s="18">
        <f t="shared" si="3"/>
        <v>400</v>
      </c>
      <c r="L74" s="17"/>
      <c r="M74" s="3"/>
      <c r="N74" s="3"/>
      <c r="O74" s="3"/>
      <c r="P74" s="29"/>
      <c r="Q74" s="29"/>
      <c r="R74" s="29"/>
    </row>
    <row r="75" spans="1:18" x14ac:dyDescent="0.3">
      <c r="A75" s="4">
        <v>74</v>
      </c>
      <c r="B75" s="4" t="s">
        <v>119</v>
      </c>
      <c r="C75" s="4" t="s">
        <v>116</v>
      </c>
      <c r="D75" s="35" t="s">
        <v>70</v>
      </c>
      <c r="E75" s="17">
        <v>1000</v>
      </c>
      <c r="F75" s="17">
        <v>1000</v>
      </c>
      <c r="G75" s="17"/>
      <c r="H75" s="17"/>
      <c r="I75" s="18">
        <v>5.5</v>
      </c>
      <c r="J75" s="18">
        <f t="shared" si="2"/>
        <v>5500</v>
      </c>
      <c r="K75" s="18">
        <f>2*(F75+G75+H75)</f>
        <v>2000</v>
      </c>
      <c r="L75" s="17"/>
      <c r="M75" s="3"/>
      <c r="N75" s="3"/>
      <c r="O75" s="3"/>
      <c r="P75" s="29"/>
      <c r="Q75" s="29"/>
      <c r="R75" s="29"/>
    </row>
    <row r="76" spans="1:18" ht="28.8" customHeight="1" x14ac:dyDescent="0.3">
      <c r="A76" s="4">
        <v>75</v>
      </c>
      <c r="B76" s="12" t="s">
        <v>153</v>
      </c>
      <c r="C76" s="12" t="s">
        <v>37</v>
      </c>
      <c r="D76" s="36" t="s">
        <v>66</v>
      </c>
      <c r="E76" s="18">
        <v>700</v>
      </c>
      <c r="F76" s="18">
        <v>700</v>
      </c>
      <c r="G76" s="18"/>
      <c r="H76" s="18"/>
      <c r="I76" s="18">
        <v>6</v>
      </c>
      <c r="J76" s="18">
        <f t="shared" si="2"/>
        <v>4200</v>
      </c>
      <c r="K76" s="18">
        <f>2*(F76+G76+H76)</f>
        <v>1400</v>
      </c>
      <c r="L76" s="18"/>
      <c r="M76" s="4"/>
      <c r="N76" s="4"/>
      <c r="O76" s="4"/>
      <c r="P76" s="29">
        <v>1622</v>
      </c>
      <c r="Q76" s="29">
        <v>12537</v>
      </c>
      <c r="R76" s="29">
        <v>12537</v>
      </c>
    </row>
    <row r="77" spans="1:18" ht="28.8" customHeight="1" x14ac:dyDescent="0.3">
      <c r="A77" s="4">
        <v>76</v>
      </c>
      <c r="B77" s="12" t="s">
        <v>153</v>
      </c>
      <c r="C77" s="12" t="s">
        <v>37</v>
      </c>
      <c r="D77" s="39" t="s">
        <v>154</v>
      </c>
      <c r="E77" s="18">
        <v>450</v>
      </c>
      <c r="F77" s="18">
        <v>450</v>
      </c>
      <c r="G77" s="18"/>
      <c r="H77" s="4"/>
      <c r="I77" s="18">
        <v>6</v>
      </c>
      <c r="J77" s="18">
        <f t="shared" si="2"/>
        <v>2700</v>
      </c>
      <c r="K77" s="18">
        <f t="shared" ref="K77:K120" si="4">2*(F77+G77+H77)</f>
        <v>900</v>
      </c>
      <c r="L77" s="18"/>
      <c r="M77" s="4"/>
      <c r="N77" s="4"/>
      <c r="O77" s="4"/>
      <c r="P77" s="29"/>
      <c r="Q77" s="29"/>
      <c r="R77" s="29"/>
    </row>
    <row r="78" spans="1:18" ht="28.8" customHeight="1" x14ac:dyDescent="0.3">
      <c r="A78" s="4">
        <v>77</v>
      </c>
      <c r="B78" s="12" t="s">
        <v>153</v>
      </c>
      <c r="C78" s="12" t="s">
        <v>37</v>
      </c>
      <c r="D78" s="36" t="s">
        <v>147</v>
      </c>
      <c r="E78" s="18">
        <v>150</v>
      </c>
      <c r="F78" s="18"/>
      <c r="G78" s="18"/>
      <c r="H78" s="18">
        <v>150</v>
      </c>
      <c r="I78" s="18">
        <v>6</v>
      </c>
      <c r="J78" s="18">
        <f t="shared" si="2"/>
        <v>900</v>
      </c>
      <c r="K78" s="18">
        <f t="shared" si="4"/>
        <v>300</v>
      </c>
      <c r="L78" s="18"/>
      <c r="M78" s="4"/>
      <c r="N78" s="4"/>
      <c r="O78" s="4"/>
      <c r="P78" s="29"/>
      <c r="Q78" s="29"/>
      <c r="R78" s="29"/>
    </row>
    <row r="79" spans="1:18" ht="28.8" customHeight="1" x14ac:dyDescent="0.3">
      <c r="A79" s="4">
        <v>78</v>
      </c>
      <c r="B79" s="12" t="s">
        <v>153</v>
      </c>
      <c r="C79" s="12" t="s">
        <v>37</v>
      </c>
      <c r="D79" s="36" t="s">
        <v>151</v>
      </c>
      <c r="E79" s="18">
        <v>240</v>
      </c>
      <c r="F79" s="18"/>
      <c r="G79" s="18"/>
      <c r="H79" s="18">
        <v>240</v>
      </c>
      <c r="I79" s="18">
        <v>6</v>
      </c>
      <c r="J79" s="18">
        <f t="shared" si="2"/>
        <v>1440</v>
      </c>
      <c r="K79" s="18">
        <f t="shared" si="4"/>
        <v>480</v>
      </c>
      <c r="L79" s="18"/>
      <c r="M79" s="4"/>
      <c r="N79" s="4"/>
      <c r="O79" s="4"/>
      <c r="P79" s="29"/>
      <c r="Q79" s="29"/>
      <c r="R79" s="29"/>
    </row>
    <row r="80" spans="1:18" ht="28.8" customHeight="1" x14ac:dyDescent="0.3">
      <c r="A80" s="4">
        <v>79</v>
      </c>
      <c r="B80" s="12" t="s">
        <v>153</v>
      </c>
      <c r="C80" s="12" t="s">
        <v>37</v>
      </c>
      <c r="D80" s="40" t="s">
        <v>150</v>
      </c>
      <c r="E80" s="18">
        <v>270</v>
      </c>
      <c r="F80" s="18"/>
      <c r="G80" s="18"/>
      <c r="H80" s="18">
        <v>270</v>
      </c>
      <c r="I80" s="18">
        <v>6.5</v>
      </c>
      <c r="J80" s="18">
        <f t="shared" si="2"/>
        <v>1755</v>
      </c>
      <c r="K80" s="18">
        <f t="shared" si="4"/>
        <v>540</v>
      </c>
      <c r="L80" s="18"/>
      <c r="M80" s="4"/>
      <c r="N80" s="4"/>
      <c r="O80" s="4"/>
      <c r="P80" s="29"/>
      <c r="Q80" s="29"/>
      <c r="R80" s="29"/>
    </row>
    <row r="81" spans="1:18" ht="28.8" customHeight="1" x14ac:dyDescent="0.3">
      <c r="A81" s="4">
        <v>80</v>
      </c>
      <c r="B81" s="12" t="s">
        <v>153</v>
      </c>
      <c r="C81" s="12" t="s">
        <v>37</v>
      </c>
      <c r="D81" s="39" t="s">
        <v>149</v>
      </c>
      <c r="E81" s="18">
        <v>100</v>
      </c>
      <c r="F81" s="18"/>
      <c r="G81" s="18"/>
      <c r="H81" s="18">
        <v>100</v>
      </c>
      <c r="I81" s="18">
        <v>5</v>
      </c>
      <c r="J81" s="18">
        <f t="shared" si="2"/>
        <v>500</v>
      </c>
      <c r="K81" s="18">
        <f t="shared" si="4"/>
        <v>200</v>
      </c>
      <c r="L81" s="18"/>
      <c r="M81" s="4"/>
      <c r="N81" s="4"/>
      <c r="O81" s="4"/>
      <c r="P81" s="29"/>
      <c r="Q81" s="29"/>
      <c r="R81" s="29"/>
    </row>
    <row r="82" spans="1:18" ht="28.8" customHeight="1" x14ac:dyDescent="0.3">
      <c r="A82" s="4">
        <v>81</v>
      </c>
      <c r="B82" s="12" t="s">
        <v>153</v>
      </c>
      <c r="C82" s="12" t="s">
        <v>37</v>
      </c>
      <c r="D82" s="36" t="s">
        <v>148</v>
      </c>
      <c r="E82" s="18">
        <v>70</v>
      </c>
      <c r="F82" s="18"/>
      <c r="G82" s="18"/>
      <c r="H82" s="18">
        <v>70</v>
      </c>
      <c r="I82" s="18">
        <v>5</v>
      </c>
      <c r="J82" s="18">
        <f t="shared" si="2"/>
        <v>350</v>
      </c>
      <c r="K82" s="18">
        <f t="shared" si="4"/>
        <v>140</v>
      </c>
      <c r="L82" s="18"/>
      <c r="M82" s="4"/>
      <c r="N82" s="4"/>
      <c r="O82" s="4"/>
      <c r="P82" s="29"/>
      <c r="Q82" s="29"/>
      <c r="R82" s="29"/>
    </row>
    <row r="83" spans="1:18" ht="28.8" customHeight="1" x14ac:dyDescent="0.3">
      <c r="A83" s="4">
        <v>82</v>
      </c>
      <c r="B83" s="12" t="s">
        <v>153</v>
      </c>
      <c r="C83" s="12" t="s">
        <v>37</v>
      </c>
      <c r="D83" s="36" t="s">
        <v>68</v>
      </c>
      <c r="E83" s="18">
        <v>600</v>
      </c>
      <c r="F83" s="18">
        <v>600</v>
      </c>
      <c r="G83" s="18"/>
      <c r="H83" s="18"/>
      <c r="I83" s="18">
        <v>5.5</v>
      </c>
      <c r="J83" s="18">
        <f t="shared" si="2"/>
        <v>3300</v>
      </c>
      <c r="K83" s="18">
        <f t="shared" si="4"/>
        <v>1200</v>
      </c>
      <c r="L83" s="18"/>
      <c r="M83" s="4"/>
      <c r="N83" s="4"/>
      <c r="O83" s="4"/>
      <c r="P83" s="29"/>
      <c r="Q83" s="29"/>
      <c r="R83" s="29"/>
    </row>
    <row r="84" spans="1:18" ht="28.8" x14ac:dyDescent="0.3">
      <c r="A84" s="4">
        <v>83</v>
      </c>
      <c r="B84" s="12" t="s">
        <v>153</v>
      </c>
      <c r="C84" s="12" t="s">
        <v>37</v>
      </c>
      <c r="D84" s="36" t="s">
        <v>67</v>
      </c>
      <c r="E84" s="18">
        <v>170</v>
      </c>
      <c r="F84" s="4"/>
      <c r="G84" s="18"/>
      <c r="H84" s="18">
        <v>170</v>
      </c>
      <c r="I84" s="18">
        <v>5</v>
      </c>
      <c r="J84" s="18">
        <f t="shared" si="2"/>
        <v>850</v>
      </c>
      <c r="K84" s="18">
        <f t="shared" si="4"/>
        <v>340</v>
      </c>
      <c r="L84" s="18"/>
      <c r="M84" s="4"/>
      <c r="N84" s="4"/>
      <c r="O84" s="4"/>
      <c r="P84" s="29"/>
      <c r="Q84" s="29"/>
      <c r="R84" s="29"/>
    </row>
    <row r="85" spans="1:18" ht="28.8" x14ac:dyDescent="0.3">
      <c r="A85" s="4">
        <v>84</v>
      </c>
      <c r="B85" s="12" t="s">
        <v>153</v>
      </c>
      <c r="C85" s="12" t="s">
        <v>37</v>
      </c>
      <c r="D85" s="8" t="s">
        <v>146</v>
      </c>
      <c r="E85" s="18">
        <v>180</v>
      </c>
      <c r="F85" s="4"/>
      <c r="G85" s="18"/>
      <c r="H85" s="18">
        <v>180</v>
      </c>
      <c r="I85" s="18">
        <v>5</v>
      </c>
      <c r="J85" s="18">
        <f t="shared" si="2"/>
        <v>900</v>
      </c>
      <c r="K85" s="18">
        <f t="shared" si="4"/>
        <v>360</v>
      </c>
      <c r="L85" s="18"/>
      <c r="M85" s="4"/>
      <c r="N85" s="4"/>
      <c r="O85" s="4"/>
      <c r="P85" s="29"/>
      <c r="Q85" s="29"/>
      <c r="R85" s="29"/>
    </row>
    <row r="86" spans="1:18" ht="28.8" x14ac:dyDescent="0.3">
      <c r="A86" s="4">
        <v>85</v>
      </c>
      <c r="B86" s="12" t="s">
        <v>153</v>
      </c>
      <c r="C86" s="12" t="s">
        <v>37</v>
      </c>
      <c r="D86" s="8" t="s">
        <v>152</v>
      </c>
      <c r="E86" s="18">
        <v>350</v>
      </c>
      <c r="F86" s="18"/>
      <c r="G86" s="18"/>
      <c r="H86" s="18">
        <v>350</v>
      </c>
      <c r="I86" s="18">
        <v>5.5</v>
      </c>
      <c r="J86" s="18">
        <f t="shared" si="2"/>
        <v>1925</v>
      </c>
      <c r="K86" s="18">
        <f t="shared" si="4"/>
        <v>700</v>
      </c>
      <c r="L86" s="18"/>
      <c r="M86" s="4"/>
      <c r="N86" s="4"/>
      <c r="O86" s="4"/>
      <c r="P86" s="29"/>
      <c r="Q86" s="29"/>
      <c r="R86" s="29"/>
    </row>
    <row r="87" spans="1:18" x14ac:dyDescent="0.3">
      <c r="A87" s="4">
        <v>86</v>
      </c>
      <c r="B87" s="12" t="s">
        <v>153</v>
      </c>
      <c r="C87" s="1" t="s">
        <v>38</v>
      </c>
      <c r="D87" s="8"/>
      <c r="E87" s="18"/>
      <c r="F87" s="18"/>
      <c r="G87" s="18"/>
      <c r="H87" s="18"/>
      <c r="I87" s="18"/>
      <c r="J87" s="18">
        <f t="shared" si="2"/>
        <v>0</v>
      </c>
      <c r="K87" s="18">
        <f t="shared" si="4"/>
        <v>0</v>
      </c>
      <c r="L87" s="18"/>
      <c r="M87" s="4"/>
      <c r="N87" s="4"/>
      <c r="O87" s="4"/>
      <c r="P87" s="4"/>
      <c r="Q87" s="4"/>
      <c r="R87" s="4"/>
    </row>
    <row r="88" spans="1:18" x14ac:dyDescent="0.3">
      <c r="A88" s="4">
        <v>87</v>
      </c>
      <c r="B88" s="12" t="s">
        <v>153</v>
      </c>
      <c r="C88" s="1" t="s">
        <v>38</v>
      </c>
      <c r="D88" s="1"/>
      <c r="E88" s="17"/>
      <c r="F88" s="17"/>
      <c r="G88" s="17"/>
      <c r="H88" s="17"/>
      <c r="I88" s="17"/>
      <c r="J88" s="18">
        <f t="shared" si="2"/>
        <v>0</v>
      </c>
      <c r="K88" s="18">
        <f t="shared" si="4"/>
        <v>0</v>
      </c>
      <c r="L88" s="17"/>
      <c r="M88" s="4"/>
      <c r="N88" s="4"/>
      <c r="O88" s="4"/>
      <c r="P88" s="4"/>
      <c r="Q88" s="4"/>
      <c r="R88" s="4"/>
    </row>
    <row r="89" spans="1:18" x14ac:dyDescent="0.3">
      <c r="A89" s="4">
        <v>88</v>
      </c>
      <c r="B89" s="12" t="s">
        <v>153</v>
      </c>
      <c r="C89" s="1" t="s">
        <v>39</v>
      </c>
      <c r="D89" s="1" t="s">
        <v>121</v>
      </c>
      <c r="E89" s="17">
        <v>100</v>
      </c>
      <c r="F89" s="17">
        <v>100</v>
      </c>
      <c r="G89" s="17"/>
      <c r="H89" s="17"/>
      <c r="I89" s="17">
        <v>5.5</v>
      </c>
      <c r="J89" s="18">
        <f t="shared" si="2"/>
        <v>550</v>
      </c>
      <c r="K89" s="18">
        <f t="shared" si="4"/>
        <v>200</v>
      </c>
      <c r="L89" s="17"/>
      <c r="M89" s="4"/>
      <c r="N89" s="4"/>
      <c r="O89" s="4"/>
      <c r="P89" s="4"/>
      <c r="Q89" s="4"/>
      <c r="R89" s="4"/>
    </row>
    <row r="90" spans="1:18" x14ac:dyDescent="0.3">
      <c r="A90" s="4">
        <v>89</v>
      </c>
      <c r="B90" s="12" t="s">
        <v>153</v>
      </c>
      <c r="C90" s="1" t="s">
        <v>39</v>
      </c>
      <c r="D90" s="1" t="s">
        <v>122</v>
      </c>
      <c r="E90" s="17">
        <v>100</v>
      </c>
      <c r="F90" s="17">
        <v>100</v>
      </c>
      <c r="G90" s="17"/>
      <c r="H90" s="17"/>
      <c r="I90" s="17">
        <v>5.5</v>
      </c>
      <c r="J90" s="18">
        <f t="shared" si="2"/>
        <v>550</v>
      </c>
      <c r="K90" s="18">
        <f t="shared" si="4"/>
        <v>200</v>
      </c>
      <c r="L90" s="17"/>
      <c r="M90" s="4"/>
      <c r="N90" s="4"/>
      <c r="O90" s="4"/>
      <c r="P90" s="4"/>
      <c r="Q90" s="4"/>
      <c r="R90" s="4"/>
    </row>
    <row r="91" spans="1:18" x14ac:dyDescent="0.3">
      <c r="A91" s="4">
        <v>90</v>
      </c>
      <c r="B91" s="12" t="s">
        <v>153</v>
      </c>
      <c r="C91" s="1" t="s">
        <v>39</v>
      </c>
      <c r="D91" s="1" t="s">
        <v>123</v>
      </c>
      <c r="E91" s="17">
        <v>120</v>
      </c>
      <c r="F91" s="17">
        <v>120</v>
      </c>
      <c r="G91" s="17"/>
      <c r="H91" s="17"/>
      <c r="I91" s="17">
        <v>5.5</v>
      </c>
      <c r="J91" s="18">
        <f t="shared" si="2"/>
        <v>660</v>
      </c>
      <c r="K91" s="18">
        <f t="shared" si="4"/>
        <v>240</v>
      </c>
      <c r="L91" s="17"/>
      <c r="M91" s="4"/>
      <c r="N91" s="4"/>
      <c r="O91" s="4"/>
      <c r="P91" s="4"/>
      <c r="Q91" s="4"/>
      <c r="R91" s="4"/>
    </row>
    <row r="92" spans="1:18" x14ac:dyDescent="0.3">
      <c r="A92" s="4">
        <v>91</v>
      </c>
      <c r="B92" s="12" t="s">
        <v>153</v>
      </c>
      <c r="C92" s="1" t="s">
        <v>39</v>
      </c>
      <c r="D92" s="1" t="s">
        <v>124</v>
      </c>
      <c r="E92" s="17">
        <v>100</v>
      </c>
      <c r="F92" s="17">
        <v>100</v>
      </c>
      <c r="G92" s="17"/>
      <c r="H92" s="17"/>
      <c r="I92" s="17">
        <v>5.5</v>
      </c>
      <c r="J92" s="18">
        <f t="shared" si="2"/>
        <v>550</v>
      </c>
      <c r="K92" s="18">
        <f t="shared" si="4"/>
        <v>200</v>
      </c>
      <c r="L92" s="17"/>
      <c r="M92" s="4"/>
      <c r="N92" s="4"/>
      <c r="O92" s="4"/>
      <c r="P92" s="4"/>
      <c r="Q92" s="4"/>
      <c r="R92" s="4"/>
    </row>
    <row r="93" spans="1:18" x14ac:dyDescent="0.3">
      <c r="A93" s="4">
        <v>92</v>
      </c>
      <c r="B93" s="12" t="s">
        <v>153</v>
      </c>
      <c r="C93" s="1" t="s">
        <v>39</v>
      </c>
      <c r="D93" s="1" t="s">
        <v>125</v>
      </c>
      <c r="E93" s="17">
        <v>300</v>
      </c>
      <c r="F93" s="17">
        <v>300</v>
      </c>
      <c r="G93" s="17"/>
      <c r="H93" s="17"/>
      <c r="I93" s="17">
        <v>5.5</v>
      </c>
      <c r="J93" s="18">
        <f t="shared" si="2"/>
        <v>1650</v>
      </c>
      <c r="K93" s="18">
        <f t="shared" si="4"/>
        <v>600</v>
      </c>
      <c r="L93" s="17"/>
      <c r="M93" s="4"/>
      <c r="N93" s="4"/>
      <c r="O93" s="4"/>
      <c r="P93" s="4"/>
      <c r="Q93" s="4"/>
      <c r="R93" s="4"/>
    </row>
    <row r="94" spans="1:18" x14ac:dyDescent="0.3">
      <c r="A94" s="4">
        <v>93</v>
      </c>
      <c r="B94" s="12" t="s">
        <v>153</v>
      </c>
      <c r="C94" s="1" t="s">
        <v>39</v>
      </c>
      <c r="D94" s="1" t="s">
        <v>126</v>
      </c>
      <c r="E94" s="17">
        <v>100</v>
      </c>
      <c r="F94" s="17">
        <v>100</v>
      </c>
      <c r="G94" s="17"/>
      <c r="H94" s="17"/>
      <c r="I94" s="17">
        <v>5.5</v>
      </c>
      <c r="J94" s="18">
        <f t="shared" si="2"/>
        <v>550</v>
      </c>
      <c r="K94" s="18">
        <f t="shared" si="4"/>
        <v>200</v>
      </c>
      <c r="L94" s="17"/>
      <c r="M94" s="4"/>
      <c r="N94" s="4"/>
      <c r="O94" s="4"/>
      <c r="P94" s="4"/>
      <c r="Q94" s="4"/>
      <c r="R94" s="4"/>
    </row>
    <row r="95" spans="1:18" x14ac:dyDescent="0.3">
      <c r="A95" s="4">
        <v>94</v>
      </c>
      <c r="B95" s="12" t="s">
        <v>153</v>
      </c>
      <c r="C95" s="1" t="s">
        <v>39</v>
      </c>
      <c r="D95" s="1" t="s">
        <v>127</v>
      </c>
      <c r="E95" s="17">
        <v>150</v>
      </c>
      <c r="F95" s="17">
        <v>150</v>
      </c>
      <c r="G95" s="17"/>
      <c r="H95" s="17"/>
      <c r="I95" s="17">
        <v>5.5</v>
      </c>
      <c r="J95" s="18">
        <f t="shared" si="2"/>
        <v>825</v>
      </c>
      <c r="K95" s="18">
        <f t="shared" si="4"/>
        <v>300</v>
      </c>
      <c r="L95" s="17"/>
      <c r="M95" s="4"/>
      <c r="N95" s="4"/>
      <c r="O95" s="4"/>
      <c r="P95" s="4"/>
      <c r="Q95" s="4"/>
      <c r="R95" s="4"/>
    </row>
    <row r="96" spans="1:18" x14ac:dyDescent="0.3">
      <c r="A96" s="4">
        <v>95</v>
      </c>
      <c r="B96" s="12" t="s">
        <v>153</v>
      </c>
      <c r="C96" s="1" t="s">
        <v>39</v>
      </c>
      <c r="D96" s="1" t="s">
        <v>128</v>
      </c>
      <c r="E96" s="17">
        <v>250</v>
      </c>
      <c r="F96" s="17">
        <v>250</v>
      </c>
      <c r="G96" s="17"/>
      <c r="H96" s="17"/>
      <c r="I96" s="17">
        <v>5.5</v>
      </c>
      <c r="J96" s="18">
        <f t="shared" si="2"/>
        <v>1375</v>
      </c>
      <c r="K96" s="18">
        <f t="shared" si="4"/>
        <v>500</v>
      </c>
      <c r="L96" s="17"/>
      <c r="M96" s="4"/>
      <c r="N96" s="4"/>
      <c r="O96" s="4"/>
      <c r="P96" s="4"/>
      <c r="Q96" s="4"/>
      <c r="R96" s="4"/>
    </row>
    <row r="97" spans="1:18" x14ac:dyDescent="0.3">
      <c r="A97" s="4">
        <v>96</v>
      </c>
      <c r="B97" s="12" t="s">
        <v>153</v>
      </c>
      <c r="C97" s="1" t="s">
        <v>69</v>
      </c>
      <c r="D97" s="1" t="s">
        <v>145</v>
      </c>
      <c r="E97" s="17">
        <v>200</v>
      </c>
      <c r="F97" s="17">
        <v>200</v>
      </c>
      <c r="G97" s="17"/>
      <c r="H97" s="17"/>
      <c r="I97" s="17">
        <v>5.5</v>
      </c>
      <c r="J97" s="18">
        <f t="shared" si="2"/>
        <v>1100</v>
      </c>
      <c r="K97" s="18">
        <f t="shared" si="4"/>
        <v>400</v>
      </c>
      <c r="L97" s="17"/>
      <c r="M97" s="4"/>
      <c r="N97" s="4"/>
      <c r="O97" s="4"/>
      <c r="P97" s="4"/>
      <c r="Q97" s="4"/>
      <c r="R97" s="4"/>
    </row>
    <row r="98" spans="1:18" x14ac:dyDescent="0.3">
      <c r="A98" s="4">
        <v>97</v>
      </c>
      <c r="B98" s="12" t="s">
        <v>153</v>
      </c>
      <c r="C98" s="1" t="s">
        <v>69</v>
      </c>
      <c r="D98" s="1" t="s">
        <v>144</v>
      </c>
      <c r="E98" s="17">
        <v>220</v>
      </c>
      <c r="F98" s="17">
        <v>220</v>
      </c>
      <c r="G98" s="17"/>
      <c r="H98" s="17"/>
      <c r="I98" s="17">
        <v>5.5</v>
      </c>
      <c r="J98" s="18">
        <f t="shared" si="2"/>
        <v>1210</v>
      </c>
      <c r="K98" s="18">
        <f t="shared" si="4"/>
        <v>440</v>
      </c>
      <c r="L98" s="17"/>
      <c r="M98" s="4"/>
      <c r="N98" s="4"/>
      <c r="O98" s="4"/>
      <c r="P98" s="4"/>
      <c r="Q98" s="4"/>
      <c r="R98" s="4"/>
    </row>
    <row r="99" spans="1:18" x14ac:dyDescent="0.3">
      <c r="A99" s="4">
        <v>98</v>
      </c>
      <c r="B99" s="12" t="s">
        <v>153</v>
      </c>
      <c r="C99" s="1" t="s">
        <v>69</v>
      </c>
      <c r="D99" s="1" t="s">
        <v>143</v>
      </c>
      <c r="E99" s="17">
        <v>350</v>
      </c>
      <c r="F99" s="17">
        <v>350</v>
      </c>
      <c r="G99" s="17"/>
      <c r="H99" s="17"/>
      <c r="I99" s="17">
        <v>5.5</v>
      </c>
      <c r="J99" s="18">
        <f t="shared" si="2"/>
        <v>1925</v>
      </c>
      <c r="K99" s="18">
        <f t="shared" si="4"/>
        <v>700</v>
      </c>
      <c r="L99" s="17"/>
      <c r="M99" s="4"/>
      <c r="N99" s="4"/>
      <c r="O99" s="4"/>
      <c r="P99" s="4"/>
      <c r="Q99" s="4"/>
      <c r="R99" s="4"/>
    </row>
    <row r="100" spans="1:18" x14ac:dyDescent="0.3">
      <c r="A100" s="4">
        <v>99</v>
      </c>
      <c r="B100" s="12" t="s">
        <v>153</v>
      </c>
      <c r="C100" s="1" t="s">
        <v>69</v>
      </c>
      <c r="D100" s="1" t="s">
        <v>142</v>
      </c>
      <c r="E100" s="17">
        <v>400</v>
      </c>
      <c r="F100" s="17">
        <v>400</v>
      </c>
      <c r="G100" s="17"/>
      <c r="H100" s="17"/>
      <c r="I100" s="17">
        <v>5.5</v>
      </c>
      <c r="J100" s="18">
        <f t="shared" si="2"/>
        <v>2200</v>
      </c>
      <c r="K100" s="18">
        <f t="shared" si="4"/>
        <v>800</v>
      </c>
      <c r="L100" s="17"/>
      <c r="M100" s="4"/>
      <c r="N100" s="4"/>
      <c r="O100" s="4"/>
      <c r="P100" s="4"/>
      <c r="Q100" s="4"/>
      <c r="R100" s="4"/>
    </row>
    <row r="101" spans="1:18" x14ac:dyDescent="0.3">
      <c r="A101" s="4">
        <v>100</v>
      </c>
      <c r="B101" s="12" t="s">
        <v>153</v>
      </c>
      <c r="C101" s="4" t="s">
        <v>17</v>
      </c>
      <c r="D101" s="1" t="s">
        <v>141</v>
      </c>
      <c r="E101" s="17">
        <v>250</v>
      </c>
      <c r="F101" s="17">
        <v>250</v>
      </c>
      <c r="G101" s="17"/>
      <c r="H101" s="17"/>
      <c r="I101" s="17">
        <v>5.5</v>
      </c>
      <c r="J101" s="18">
        <f t="shared" si="2"/>
        <v>1375</v>
      </c>
      <c r="K101" s="18">
        <f t="shared" si="4"/>
        <v>500</v>
      </c>
      <c r="L101" s="17"/>
      <c r="M101" s="4"/>
      <c r="N101" s="4"/>
      <c r="O101" s="4"/>
      <c r="P101" s="4"/>
      <c r="Q101" s="4"/>
      <c r="R101" s="4"/>
    </row>
    <row r="102" spans="1:18" x14ac:dyDescent="0.3">
      <c r="A102" s="4">
        <v>101</v>
      </c>
      <c r="B102" s="12" t="s">
        <v>153</v>
      </c>
      <c r="C102" s="4" t="s">
        <v>17</v>
      </c>
      <c r="D102" s="1" t="s">
        <v>140</v>
      </c>
      <c r="E102" s="17">
        <v>250</v>
      </c>
      <c r="F102" s="17">
        <v>250</v>
      </c>
      <c r="G102" s="17"/>
      <c r="H102" s="17"/>
      <c r="I102" s="17">
        <v>5.5</v>
      </c>
      <c r="J102" s="18">
        <f t="shared" si="2"/>
        <v>1375</v>
      </c>
      <c r="K102" s="18">
        <f t="shared" si="4"/>
        <v>500</v>
      </c>
      <c r="L102" s="17"/>
      <c r="M102" s="4"/>
      <c r="N102" s="4"/>
      <c r="O102" s="4"/>
      <c r="P102" s="4"/>
      <c r="Q102" s="4"/>
      <c r="R102" s="4"/>
    </row>
    <row r="103" spans="1:18" x14ac:dyDescent="0.3">
      <c r="A103" s="4">
        <v>102</v>
      </c>
      <c r="B103" s="12" t="s">
        <v>153</v>
      </c>
      <c r="C103" s="4" t="s">
        <v>17</v>
      </c>
      <c r="D103" s="1" t="s">
        <v>139</v>
      </c>
      <c r="E103" s="17">
        <v>250</v>
      </c>
      <c r="F103" s="17">
        <v>250</v>
      </c>
      <c r="G103" s="17"/>
      <c r="H103" s="17"/>
      <c r="I103" s="17">
        <v>5.5</v>
      </c>
      <c r="J103" s="18">
        <f t="shared" si="2"/>
        <v>1375</v>
      </c>
      <c r="K103" s="18">
        <f t="shared" si="4"/>
        <v>500</v>
      </c>
      <c r="L103" s="17"/>
      <c r="M103" s="4"/>
      <c r="N103" s="4"/>
      <c r="O103" s="4"/>
      <c r="P103" s="4"/>
      <c r="Q103" s="4"/>
      <c r="R103" s="4"/>
    </row>
    <row r="104" spans="1:18" x14ac:dyDescent="0.3">
      <c r="A104" s="4">
        <v>103</v>
      </c>
      <c r="B104" s="12" t="s">
        <v>153</v>
      </c>
      <c r="C104" s="4" t="s">
        <v>17</v>
      </c>
      <c r="D104" s="1" t="s">
        <v>137</v>
      </c>
      <c r="E104" s="17">
        <v>250</v>
      </c>
      <c r="F104" s="17">
        <v>250</v>
      </c>
      <c r="G104" s="17"/>
      <c r="H104" s="17"/>
      <c r="I104" s="17">
        <v>5.5</v>
      </c>
      <c r="J104" s="18">
        <f t="shared" si="2"/>
        <v>1375</v>
      </c>
      <c r="K104" s="18">
        <f t="shared" si="4"/>
        <v>500</v>
      </c>
      <c r="L104" s="17"/>
      <c r="M104" s="4"/>
      <c r="N104" s="4"/>
      <c r="O104" s="4"/>
      <c r="P104" s="4"/>
      <c r="Q104" s="4"/>
      <c r="R104" s="4"/>
    </row>
    <row r="105" spans="1:18" x14ac:dyDescent="0.3">
      <c r="A105" s="4">
        <v>104</v>
      </c>
      <c r="B105" s="12" t="s">
        <v>153</v>
      </c>
      <c r="C105" s="4" t="s">
        <v>17</v>
      </c>
      <c r="D105" s="1" t="s">
        <v>49</v>
      </c>
      <c r="E105" s="17">
        <v>250</v>
      </c>
      <c r="F105" s="17">
        <v>250</v>
      </c>
      <c r="G105" s="17"/>
      <c r="H105" s="17"/>
      <c r="I105" s="17">
        <v>5.5</v>
      </c>
      <c r="J105" s="18">
        <f t="shared" si="2"/>
        <v>1375</v>
      </c>
      <c r="K105" s="18">
        <f t="shared" si="4"/>
        <v>500</v>
      </c>
      <c r="L105" s="17"/>
      <c r="M105" s="4"/>
      <c r="N105" s="4"/>
      <c r="O105" s="4"/>
      <c r="P105" s="4"/>
      <c r="Q105" s="4"/>
      <c r="R105" s="4"/>
    </row>
    <row r="106" spans="1:18" x14ac:dyDescent="0.3">
      <c r="A106" s="4">
        <v>105</v>
      </c>
      <c r="B106" s="12" t="s">
        <v>153</v>
      </c>
      <c r="C106" s="4" t="s">
        <v>17</v>
      </c>
      <c r="D106" s="1" t="s">
        <v>138</v>
      </c>
      <c r="E106" s="17">
        <v>250</v>
      </c>
      <c r="F106" s="17">
        <v>250</v>
      </c>
      <c r="G106" s="17"/>
      <c r="H106" s="18"/>
      <c r="I106" s="17">
        <v>5.5</v>
      </c>
      <c r="J106" s="18">
        <f t="shared" si="2"/>
        <v>1375</v>
      </c>
      <c r="K106" s="18">
        <f t="shared" si="4"/>
        <v>500</v>
      </c>
      <c r="L106" s="18"/>
      <c r="M106" s="4"/>
      <c r="N106" s="4"/>
      <c r="O106" s="4"/>
      <c r="P106" s="4">
        <v>2107</v>
      </c>
      <c r="Q106" s="4">
        <v>1223</v>
      </c>
      <c r="R106" s="4">
        <v>1474</v>
      </c>
    </row>
    <row r="107" spans="1:18" x14ac:dyDescent="0.3">
      <c r="A107" s="4">
        <v>106</v>
      </c>
      <c r="B107" s="12" t="s">
        <v>153</v>
      </c>
      <c r="C107" s="4" t="s">
        <v>18</v>
      </c>
      <c r="D107" s="12" t="s">
        <v>64</v>
      </c>
      <c r="E107" s="18">
        <v>700</v>
      </c>
      <c r="F107" s="18">
        <v>700</v>
      </c>
      <c r="G107" s="18"/>
      <c r="H107" s="18"/>
      <c r="I107" s="17">
        <v>5.5</v>
      </c>
      <c r="J107" s="18">
        <f t="shared" si="2"/>
        <v>3850</v>
      </c>
      <c r="K107" s="18">
        <f t="shared" si="4"/>
        <v>1400</v>
      </c>
      <c r="L107" s="18"/>
      <c r="M107" s="31"/>
      <c r="N107" s="31"/>
      <c r="O107" s="2"/>
      <c r="P107" s="4">
        <v>2177</v>
      </c>
      <c r="Q107" s="4">
        <v>2440</v>
      </c>
      <c r="R107" s="4">
        <v>2440</v>
      </c>
    </row>
    <row r="108" spans="1:18" x14ac:dyDescent="0.3">
      <c r="A108" s="4">
        <v>107</v>
      </c>
      <c r="B108" s="12" t="s">
        <v>153</v>
      </c>
      <c r="C108" s="4" t="s">
        <v>36</v>
      </c>
      <c r="D108" s="1"/>
      <c r="E108" s="21"/>
      <c r="F108" s="21"/>
      <c r="G108" s="21"/>
      <c r="H108" s="18"/>
      <c r="I108" s="18"/>
      <c r="J108" s="18">
        <f t="shared" si="2"/>
        <v>0</v>
      </c>
      <c r="K108" s="18">
        <f t="shared" si="4"/>
        <v>0</v>
      </c>
      <c r="L108" s="18"/>
      <c r="M108" s="32"/>
      <c r="N108" s="32"/>
      <c r="O108" s="2"/>
      <c r="P108" s="4">
        <v>1109</v>
      </c>
      <c r="Q108" s="4">
        <v>1079</v>
      </c>
      <c r="R108" s="4">
        <v>1079</v>
      </c>
    </row>
    <row r="109" spans="1:18" x14ac:dyDescent="0.3">
      <c r="A109" s="4"/>
      <c r="B109" s="30" t="s">
        <v>58</v>
      </c>
      <c r="C109" s="30"/>
      <c r="D109" s="30"/>
      <c r="E109" s="20">
        <f>SUM(E2:E108) /1000</f>
        <v>54.542000000000002</v>
      </c>
      <c r="F109" s="20">
        <f>SUM(F2:F108) /1000</f>
        <v>48.756999999999998</v>
      </c>
      <c r="G109" s="20"/>
      <c r="H109" s="20">
        <f>SUM(H2:H108)</f>
        <v>3750</v>
      </c>
      <c r="I109" s="20"/>
      <c r="J109" s="18">
        <f>SUM(J2:J108)</f>
        <v>307530.5</v>
      </c>
      <c r="K109" s="18">
        <f t="shared" si="4"/>
        <v>7597.5140000000001</v>
      </c>
      <c r="L109" s="20"/>
      <c r="M109" s="15"/>
      <c r="N109" s="15"/>
      <c r="O109" s="15"/>
      <c r="P109" s="15"/>
      <c r="Q109" s="15"/>
      <c r="R109" s="15"/>
    </row>
    <row r="110" spans="1:18" x14ac:dyDescent="0.3">
      <c r="B110" s="10"/>
      <c r="K110" s="18">
        <f t="shared" si="4"/>
        <v>0</v>
      </c>
    </row>
    <row r="111" spans="1:18" x14ac:dyDescent="0.3">
      <c r="B111" s="9"/>
      <c r="K111" s="18">
        <f t="shared" si="4"/>
        <v>0</v>
      </c>
    </row>
    <row r="112" spans="1:18" x14ac:dyDescent="0.3">
      <c r="B112" s="9"/>
      <c r="K112" s="18">
        <f t="shared" si="4"/>
        <v>0</v>
      </c>
    </row>
    <row r="113" spans="1:11" x14ac:dyDescent="0.3">
      <c r="B113" s="9"/>
      <c r="K113" s="18">
        <f t="shared" si="4"/>
        <v>0</v>
      </c>
    </row>
    <row r="114" spans="1:11" x14ac:dyDescent="0.3">
      <c r="A114" s="9"/>
      <c r="B114" s="9"/>
      <c r="K114" s="18">
        <f t="shared" si="4"/>
        <v>0</v>
      </c>
    </row>
    <row r="115" spans="1:11" x14ac:dyDescent="0.3">
      <c r="A115" s="9"/>
      <c r="B115" s="9"/>
      <c r="K115" s="18">
        <f t="shared" si="4"/>
        <v>0</v>
      </c>
    </row>
    <row r="116" spans="1:11" x14ac:dyDescent="0.3">
      <c r="A116" s="9"/>
      <c r="B116" s="9"/>
      <c r="K116" s="18">
        <f t="shared" si="4"/>
        <v>0</v>
      </c>
    </row>
    <row r="117" spans="1:11" x14ac:dyDescent="0.3">
      <c r="K117" s="18">
        <f t="shared" si="4"/>
        <v>0</v>
      </c>
    </row>
    <row r="118" spans="1:11" x14ac:dyDescent="0.3">
      <c r="K118" s="18">
        <f t="shared" si="4"/>
        <v>0</v>
      </c>
    </row>
    <row r="119" spans="1:11" x14ac:dyDescent="0.3">
      <c r="K119" s="18">
        <f t="shared" si="4"/>
        <v>0</v>
      </c>
    </row>
    <row r="120" spans="1:11" x14ac:dyDescent="0.3">
      <c r="K120" s="18">
        <f t="shared" si="4"/>
        <v>0</v>
      </c>
    </row>
  </sheetData>
  <autoFilter ref="A1:R120" xr:uid="{E7E18619-03EF-4233-B35F-2C3B35A30DD7}"/>
  <sortState xmlns:xlrd2="http://schemas.microsoft.com/office/spreadsheetml/2017/richdata2" ref="C29:F72">
    <sortCondition ref="C2:C18"/>
  </sortState>
  <mergeCells count="18">
    <mergeCell ref="B109:D109"/>
    <mergeCell ref="M35:M37"/>
    <mergeCell ref="N35:N37"/>
    <mergeCell ref="N107:N108"/>
    <mergeCell ref="M107:M108"/>
    <mergeCell ref="M47:M49"/>
    <mergeCell ref="N47:N49"/>
    <mergeCell ref="M41:M46"/>
    <mergeCell ref="N41:N46"/>
    <mergeCell ref="P76:P86"/>
    <mergeCell ref="Q76:Q86"/>
    <mergeCell ref="R76:R86"/>
    <mergeCell ref="R73:R75"/>
    <mergeCell ref="P66:P67"/>
    <mergeCell ref="Q66:Q67"/>
    <mergeCell ref="P73:P75"/>
    <mergeCell ref="Q73:Q75"/>
    <mergeCell ref="R66:R67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OBRAS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Sandell Levy</cp:lastModifiedBy>
  <cp:lastPrinted>2025-06-23T03:52:37Z</cp:lastPrinted>
  <dcterms:created xsi:type="dcterms:W3CDTF">2025-05-20T12:52:24Z</dcterms:created>
  <dcterms:modified xsi:type="dcterms:W3CDTF">2025-12-17T17:39:16Z</dcterms:modified>
</cp:coreProperties>
</file>